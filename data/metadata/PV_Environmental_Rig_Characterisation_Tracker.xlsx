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lngjam012_myuct_ac_za/Documents/2026/S/EEE4022S/PV Impedance Project/Master Log/"/>
    </mc:Choice>
  </mc:AlternateContent>
  <xr:revisionPtr revIDLastSave="224" documentId="11_2E87F40AF452325A882976AA1126D854E71E5C82" xr6:coauthVersionLast="47" xr6:coauthVersionMax="47" xr10:uidLastSave="{2AB7D569-9436-6A49-8FB2-FE74523148C6}"/>
  <bookViews>
    <workbookView xWindow="0" yWindow="600" windowWidth="28160" windowHeight="15220" firstSheet="2" activeTab="10" xr2:uid="{00000000-000D-0000-FFFF-FFFF00000000}"/>
  </bookViews>
  <sheets>
    <sheet name="Setup" sheetId="1" r:id="rId1"/>
    <sheet name="Lists" sheetId="2" r:id="rId2"/>
    <sheet name="Config_01" sheetId="3" r:id="rId3"/>
    <sheet name="Config_02" sheetId="4" r:id="rId4"/>
    <sheet name="Config_03" sheetId="5" r:id="rId5"/>
    <sheet name="Config_04" sheetId="6" r:id="rId6"/>
    <sheet name="Config_05" sheetId="7" r:id="rId7"/>
    <sheet name="Config_06" sheetId="8" r:id="rId8"/>
    <sheet name="Config_07" sheetId="9" r:id="rId9"/>
    <sheet name="Config_08" sheetId="10" r:id="rId10"/>
    <sheet name="Config_09" sheetId="11" r:id="rId11"/>
    <sheet name="Config_10" sheetId="12" r:id="rId12"/>
    <sheet name="Config_11" sheetId="13" r:id="rId13"/>
    <sheet name="Config_12" sheetId="14" r:id="rId14"/>
    <sheet name="Config_13" sheetId="15" r:id="rId15"/>
    <sheet name="Summary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1" i="16" l="1"/>
  <c r="U21" i="16"/>
  <c r="T21" i="16"/>
  <c r="X21" i="16" s="1"/>
  <c r="S21" i="16"/>
  <c r="R21" i="16"/>
  <c r="Q21" i="16"/>
  <c r="P21" i="16"/>
  <c r="O21" i="16"/>
  <c r="N21" i="16"/>
  <c r="G21" i="16"/>
  <c r="F21" i="16"/>
  <c r="E21" i="16"/>
  <c r="D21" i="16"/>
  <c r="V20" i="16"/>
  <c r="U20" i="16"/>
  <c r="T20" i="16"/>
  <c r="X20" i="16" s="1"/>
  <c r="S20" i="16"/>
  <c r="R20" i="16"/>
  <c r="Q20" i="16"/>
  <c r="P20" i="16"/>
  <c r="O20" i="16"/>
  <c r="N20" i="16"/>
  <c r="G20" i="16"/>
  <c r="F20" i="16"/>
  <c r="E20" i="16"/>
  <c r="D20" i="16"/>
  <c r="X19" i="16"/>
  <c r="V19" i="16"/>
  <c r="U19" i="16"/>
  <c r="T19" i="16"/>
  <c r="S19" i="16"/>
  <c r="R19" i="16"/>
  <c r="Q19" i="16"/>
  <c r="P19" i="16"/>
  <c r="O19" i="16"/>
  <c r="N19" i="16"/>
  <c r="G19" i="16"/>
  <c r="D19" i="16"/>
  <c r="X18" i="16"/>
  <c r="V18" i="16"/>
  <c r="U18" i="16"/>
  <c r="T18" i="16"/>
  <c r="S18" i="16"/>
  <c r="R18" i="16"/>
  <c r="Q18" i="16"/>
  <c r="P18" i="16"/>
  <c r="O18" i="16"/>
  <c r="N18" i="16"/>
  <c r="G18" i="16"/>
  <c r="D18" i="16"/>
  <c r="V17" i="16"/>
  <c r="U17" i="16"/>
  <c r="T17" i="16"/>
  <c r="X17" i="16" s="1"/>
  <c r="S17" i="16"/>
  <c r="R17" i="16"/>
  <c r="Q17" i="16"/>
  <c r="P17" i="16"/>
  <c r="O17" i="16"/>
  <c r="N17" i="16"/>
  <c r="G17" i="16"/>
  <c r="D17" i="16"/>
  <c r="V16" i="16"/>
  <c r="U16" i="16"/>
  <c r="T16" i="16"/>
  <c r="X16" i="16" s="1"/>
  <c r="S16" i="16"/>
  <c r="R16" i="16"/>
  <c r="Q16" i="16"/>
  <c r="P16" i="16"/>
  <c r="O16" i="16"/>
  <c r="N16" i="16"/>
  <c r="G16" i="16"/>
  <c r="D16" i="16"/>
  <c r="V15" i="16"/>
  <c r="U15" i="16"/>
  <c r="T15" i="16"/>
  <c r="X15" i="16" s="1"/>
  <c r="S15" i="16"/>
  <c r="R15" i="16"/>
  <c r="Q15" i="16"/>
  <c r="P15" i="16"/>
  <c r="O15" i="16"/>
  <c r="N15" i="16"/>
  <c r="G15" i="16"/>
  <c r="D15" i="16"/>
  <c r="V14" i="16"/>
  <c r="U14" i="16"/>
  <c r="T14" i="16"/>
  <c r="X14" i="16" s="1"/>
  <c r="S14" i="16"/>
  <c r="R14" i="16"/>
  <c r="Q14" i="16"/>
  <c r="P14" i="16"/>
  <c r="O14" i="16"/>
  <c r="N14" i="16"/>
  <c r="G14" i="16"/>
  <c r="D14" i="16"/>
  <c r="V13" i="16"/>
  <c r="U13" i="16"/>
  <c r="T13" i="16"/>
  <c r="X13" i="16" s="1"/>
  <c r="S13" i="16"/>
  <c r="R13" i="16"/>
  <c r="Q13" i="16"/>
  <c r="P13" i="16"/>
  <c r="O13" i="16"/>
  <c r="N13" i="16"/>
  <c r="G13" i="16"/>
  <c r="E13" i="16"/>
  <c r="D13" i="16"/>
  <c r="V12" i="16"/>
  <c r="U12" i="16"/>
  <c r="T12" i="16"/>
  <c r="X12" i="16" s="1"/>
  <c r="S12" i="16"/>
  <c r="R12" i="16"/>
  <c r="Q12" i="16"/>
  <c r="P12" i="16"/>
  <c r="O12" i="16"/>
  <c r="N12" i="16"/>
  <c r="G12" i="16"/>
  <c r="D12" i="16"/>
  <c r="V11" i="16"/>
  <c r="U11" i="16"/>
  <c r="T11" i="16"/>
  <c r="X11" i="16" s="1"/>
  <c r="S11" i="16"/>
  <c r="R11" i="16"/>
  <c r="Q11" i="16"/>
  <c r="P11" i="16"/>
  <c r="O11" i="16"/>
  <c r="N11" i="16"/>
  <c r="G11" i="16"/>
  <c r="F11" i="16"/>
  <c r="D11" i="16"/>
  <c r="V10" i="16"/>
  <c r="U10" i="16"/>
  <c r="T10" i="16"/>
  <c r="X10" i="16" s="1"/>
  <c r="S10" i="16"/>
  <c r="R10" i="16"/>
  <c r="Q10" i="16"/>
  <c r="P10" i="16"/>
  <c r="O10" i="16"/>
  <c r="N10" i="16"/>
  <c r="G10" i="16"/>
  <c r="D10" i="16"/>
  <c r="V9" i="16"/>
  <c r="U9" i="16"/>
  <c r="T9" i="16"/>
  <c r="X9" i="16" s="1"/>
  <c r="S9" i="16"/>
  <c r="R9" i="16"/>
  <c r="Q9" i="16"/>
  <c r="P9" i="16"/>
  <c r="O9" i="16"/>
  <c r="N9" i="16"/>
  <c r="G9" i="16"/>
  <c r="D9" i="16"/>
  <c r="B4" i="16"/>
  <c r="I15" i="15"/>
  <c r="M21" i="16" s="1"/>
  <c r="I14" i="15"/>
  <c r="L21" i="16" s="1"/>
  <c r="I13" i="15"/>
  <c r="B13" i="15"/>
  <c r="I12" i="15"/>
  <c r="I11" i="15"/>
  <c r="K21" i="16" s="1"/>
  <c r="I8" i="15"/>
  <c r="J21" i="16" s="1"/>
  <c r="I7" i="15"/>
  <c r="I21" i="16" s="1"/>
  <c r="I6" i="15"/>
  <c r="I5" i="15"/>
  <c r="I4" i="15"/>
  <c r="H21" i="16" s="1"/>
  <c r="I15" i="14"/>
  <c r="M20" i="16" s="1"/>
  <c r="I14" i="14"/>
  <c r="L20" i="16" s="1"/>
  <c r="I13" i="14"/>
  <c r="B13" i="14"/>
  <c r="I12" i="14"/>
  <c r="I11" i="14"/>
  <c r="K20" i="16" s="1"/>
  <c r="I8" i="14"/>
  <c r="J20" i="16" s="1"/>
  <c r="I7" i="14"/>
  <c r="I20" i="16" s="1"/>
  <c r="I6" i="14"/>
  <c r="I5" i="14"/>
  <c r="I4" i="14"/>
  <c r="H20" i="16" s="1"/>
  <c r="I15" i="13"/>
  <c r="M19" i="16" s="1"/>
  <c r="I14" i="13"/>
  <c r="L19" i="16" s="1"/>
  <c r="I13" i="13"/>
  <c r="B13" i="13"/>
  <c r="I12" i="13"/>
  <c r="I11" i="13"/>
  <c r="K19" i="16" s="1"/>
  <c r="I8" i="13"/>
  <c r="J19" i="16" s="1"/>
  <c r="I7" i="13"/>
  <c r="I19" i="16" s="1"/>
  <c r="B7" i="13"/>
  <c r="F19" i="16" s="1"/>
  <c r="I6" i="13"/>
  <c r="B6" i="13"/>
  <c r="E19" i="16" s="1"/>
  <c r="I5" i="13"/>
  <c r="I4" i="13"/>
  <c r="H19" i="16" s="1"/>
  <c r="I15" i="12"/>
  <c r="M18" i="16" s="1"/>
  <c r="I14" i="12"/>
  <c r="L18" i="16" s="1"/>
  <c r="I13" i="12"/>
  <c r="B13" i="12"/>
  <c r="I12" i="12"/>
  <c r="I11" i="12"/>
  <c r="K18" i="16" s="1"/>
  <c r="I8" i="12"/>
  <c r="J18" i="16" s="1"/>
  <c r="I7" i="12"/>
  <c r="I18" i="16" s="1"/>
  <c r="B7" i="12"/>
  <c r="F18" i="16" s="1"/>
  <c r="I6" i="12"/>
  <c r="B6" i="12"/>
  <c r="E18" i="16" s="1"/>
  <c r="I5" i="12"/>
  <c r="I4" i="12"/>
  <c r="H18" i="16" s="1"/>
  <c r="I15" i="11"/>
  <c r="M17" i="16" s="1"/>
  <c r="I14" i="11"/>
  <c r="L17" i="16" s="1"/>
  <c r="I13" i="11"/>
  <c r="B13" i="11"/>
  <c r="I12" i="11"/>
  <c r="I11" i="11"/>
  <c r="K17" i="16" s="1"/>
  <c r="I8" i="11"/>
  <c r="J17" i="16" s="1"/>
  <c r="I7" i="11"/>
  <c r="I17" i="16" s="1"/>
  <c r="F17" i="16"/>
  <c r="I6" i="11"/>
  <c r="E17" i="16"/>
  <c r="I5" i="11"/>
  <c r="I4" i="11"/>
  <c r="H17" i="16" s="1"/>
  <c r="I15" i="10"/>
  <c r="M16" i="16" s="1"/>
  <c r="I14" i="10"/>
  <c r="L16" i="16" s="1"/>
  <c r="I13" i="10"/>
  <c r="B13" i="10"/>
  <c r="I12" i="10"/>
  <c r="I11" i="10"/>
  <c r="K16" i="16" s="1"/>
  <c r="I8" i="10"/>
  <c r="J16" i="16" s="1"/>
  <c r="I7" i="10"/>
  <c r="I16" i="16" s="1"/>
  <c r="F16" i="16"/>
  <c r="I6" i="10"/>
  <c r="E16" i="16"/>
  <c r="I5" i="10"/>
  <c r="I4" i="10"/>
  <c r="H16" i="16" s="1"/>
  <c r="I15" i="9"/>
  <c r="M15" i="16" s="1"/>
  <c r="I14" i="9"/>
  <c r="L15" i="16" s="1"/>
  <c r="I13" i="9"/>
  <c r="B13" i="9"/>
  <c r="I12" i="9"/>
  <c r="I11" i="9"/>
  <c r="K15" i="16" s="1"/>
  <c r="I8" i="9"/>
  <c r="J15" i="16" s="1"/>
  <c r="I7" i="9"/>
  <c r="I15" i="16" s="1"/>
  <c r="F15" i="16"/>
  <c r="I6" i="9"/>
  <c r="E15" i="16"/>
  <c r="I5" i="9"/>
  <c r="I4" i="9"/>
  <c r="H15" i="16" s="1"/>
  <c r="I15" i="8"/>
  <c r="M14" i="16" s="1"/>
  <c r="I14" i="8"/>
  <c r="L14" i="16" s="1"/>
  <c r="I13" i="8"/>
  <c r="B13" i="8"/>
  <c r="I12" i="8"/>
  <c r="I11" i="8"/>
  <c r="K14" i="16" s="1"/>
  <c r="I8" i="8"/>
  <c r="J14" i="16" s="1"/>
  <c r="I7" i="8"/>
  <c r="I14" i="16" s="1"/>
  <c r="F14" i="16"/>
  <c r="I6" i="8"/>
  <c r="E14" i="16"/>
  <c r="I5" i="8"/>
  <c r="I4" i="8"/>
  <c r="H14" i="16" s="1"/>
  <c r="I15" i="7"/>
  <c r="M13" i="16" s="1"/>
  <c r="I14" i="7"/>
  <c r="L13" i="16" s="1"/>
  <c r="I13" i="7"/>
  <c r="B13" i="7"/>
  <c r="I12" i="7"/>
  <c r="I11" i="7"/>
  <c r="K13" i="16" s="1"/>
  <c r="I8" i="7"/>
  <c r="J13" i="16" s="1"/>
  <c r="I7" i="7"/>
  <c r="I13" i="16" s="1"/>
  <c r="F13" i="16"/>
  <c r="I6" i="7"/>
  <c r="I5" i="7"/>
  <c r="I4" i="7"/>
  <c r="H13" i="16" s="1"/>
  <c r="I15" i="6"/>
  <c r="M12" i="16" s="1"/>
  <c r="I14" i="6"/>
  <c r="L12" i="16" s="1"/>
  <c r="I13" i="6"/>
  <c r="B13" i="6"/>
  <c r="I12" i="6"/>
  <c r="I11" i="6"/>
  <c r="K12" i="16" s="1"/>
  <c r="I8" i="6"/>
  <c r="J12" i="16" s="1"/>
  <c r="I7" i="6"/>
  <c r="I12" i="16" s="1"/>
  <c r="F12" i="16"/>
  <c r="I6" i="6"/>
  <c r="E12" i="16"/>
  <c r="I5" i="6"/>
  <c r="I4" i="6"/>
  <c r="H12" i="16" s="1"/>
  <c r="I15" i="5"/>
  <c r="M11" i="16" s="1"/>
  <c r="I14" i="5"/>
  <c r="L11" i="16" s="1"/>
  <c r="I13" i="5"/>
  <c r="B13" i="5"/>
  <c r="I12" i="5"/>
  <c r="I11" i="5"/>
  <c r="K11" i="16" s="1"/>
  <c r="I8" i="5"/>
  <c r="J11" i="16" s="1"/>
  <c r="I7" i="5"/>
  <c r="I11" i="16" s="1"/>
  <c r="I6" i="5"/>
  <c r="E11" i="16"/>
  <c r="I5" i="5"/>
  <c r="I4" i="5"/>
  <c r="H11" i="16" s="1"/>
  <c r="I15" i="4"/>
  <c r="M10" i="16" s="1"/>
  <c r="I14" i="4"/>
  <c r="L10" i="16" s="1"/>
  <c r="I13" i="4"/>
  <c r="B13" i="4"/>
  <c r="I12" i="4"/>
  <c r="I11" i="4"/>
  <c r="K10" i="16" s="1"/>
  <c r="I8" i="4"/>
  <c r="J10" i="16" s="1"/>
  <c r="I7" i="4"/>
  <c r="I10" i="16" s="1"/>
  <c r="F10" i="16"/>
  <c r="I6" i="4"/>
  <c r="E10" i="16"/>
  <c r="I5" i="4"/>
  <c r="I4" i="4"/>
  <c r="H10" i="16" s="1"/>
  <c r="I15" i="3"/>
  <c r="M9" i="16" s="1"/>
  <c r="I14" i="3"/>
  <c r="L9" i="16" s="1"/>
  <c r="I13" i="3"/>
  <c r="B13" i="3"/>
  <c r="I12" i="3"/>
  <c r="I11" i="3"/>
  <c r="K9" i="16" s="1"/>
  <c r="I8" i="3"/>
  <c r="J9" i="16" s="1"/>
  <c r="I7" i="3"/>
  <c r="I9" i="16" s="1"/>
  <c r="F9" i="16"/>
  <c r="I6" i="3"/>
  <c r="E9" i="16"/>
  <c r="I5" i="3"/>
  <c r="I4" i="3"/>
  <c r="H9" i="16" s="1"/>
  <c r="B5" i="16" l="1"/>
  <c r="E5" i="16"/>
  <c r="E4" i="16"/>
</calcChain>
</file>

<file path=xl/sharedStrings.xml><?xml version="1.0" encoding="utf-8"?>
<sst xmlns="http://schemas.openxmlformats.org/spreadsheetml/2006/main" count="707" uniqueCount="173">
  <si>
    <t>Environmental Rig Characterisation Setup</t>
  </si>
  <si>
    <t>Project Date</t>
  </si>
  <si>
    <t>Distance Level</t>
  </si>
  <si>
    <t>Distance (cm)</t>
  </si>
  <si>
    <t>Variac Level</t>
  </si>
  <si>
    <t>Variac (V)</t>
  </si>
  <si>
    <t>PV Module</t>
  </si>
  <si>
    <t>GSM80W</t>
  </si>
  <si>
    <t>D1 - Near</t>
  </si>
  <si>
    <t>V1 - Low</t>
  </si>
  <si>
    <t>Irradiance Meter</t>
  </si>
  <si>
    <t>TES-1333 Solar Power Meter</t>
  </si>
  <si>
    <t>D2 - Mid</t>
  </si>
  <si>
    <t>V2 - Mid</t>
  </si>
  <si>
    <t>Temperature Meter</t>
  </si>
  <si>
    <t>Sentry ST642</t>
  </si>
  <si>
    <t>D3 - Far</t>
  </si>
  <si>
    <t>V3 - High</t>
  </si>
  <si>
    <t>Operator</t>
  </si>
  <si>
    <t>Daily Environment Workbook</t>
  </si>
  <si>
    <t>Planned calibration logic</t>
  </si>
  <si>
    <t>General Notes</t>
  </si>
  <si>
    <t>Stage</t>
  </si>
  <si>
    <t>Keep Fixed</t>
  </si>
  <si>
    <t>Sweep / Change</t>
  </si>
  <si>
    <t>Goal</t>
  </si>
  <si>
    <t>Notes</t>
  </si>
  <si>
    <t>Distance effect</t>
  </si>
  <si>
    <t>Fan ON, V2</t>
  </si>
  <si>
    <t>D3 → D2 → D1</t>
  </si>
  <si>
    <t>Estimate effect of distance on G and T</t>
  </si>
  <si>
    <t>Variac effect</t>
  </si>
  <si>
    <t>Fan ON, D2</t>
  </si>
  <si>
    <t>V1 → V2 → V3</t>
  </si>
  <si>
    <t>Estimate effect of Variac on G and T</t>
  </si>
  <si>
    <t>Fan effect</t>
  </si>
  <si>
    <t>D2, V2</t>
  </si>
  <si>
    <t>ON → OFF</t>
  </si>
  <si>
    <t>Approximate temperature effect at similar G</t>
  </si>
  <si>
    <t>Interaction check</t>
  </si>
  <si>
    <t>Fan ON</t>
  </si>
  <si>
    <t>D/V corners</t>
  </si>
  <si>
    <t>Check D×V interaction</t>
  </si>
  <si>
    <t>Fan State</t>
  </si>
  <si>
    <t>Status</t>
  </si>
  <si>
    <t>DC Link Status</t>
  </si>
  <si>
    <t>ON</t>
  </si>
  <si>
    <t>Planned</t>
  </si>
  <si>
    <t>Not linked</t>
  </si>
  <si>
    <t>OFF</t>
  </si>
  <si>
    <t>In Progress</t>
  </si>
  <si>
    <t>Linked</t>
  </si>
  <si>
    <t>Complete</t>
  </si>
  <si>
    <t>Missing</t>
  </si>
  <si>
    <t>Recheck</t>
  </si>
  <si>
    <t>C01 - Environmental Configuration</t>
  </si>
  <si>
    <t>Config ID</t>
  </si>
  <si>
    <t>C01</t>
  </si>
  <si>
    <t>Temperature Grid (°C)</t>
  </si>
  <si>
    <t>Temperature Summary</t>
  </si>
  <si>
    <t>Value</t>
  </si>
  <si>
    <t>Environment ID</t>
  </si>
  <si>
    <t>Average (°C)</t>
  </si>
  <si>
    <t>Purpose</t>
  </si>
  <si>
    <t>Distance sweep - far at mid Variac</t>
  </si>
  <si>
    <t>Min (°C)</t>
  </si>
  <si>
    <t>Max (°C)</t>
  </si>
  <si>
    <t>Range (°C)</t>
  </si>
  <si>
    <t>Fan</t>
  </si>
  <si>
    <t>Irradiance Grid (W/m²)</t>
  </si>
  <si>
    <t>CV (%)</t>
  </si>
  <si>
    <t>Start Time</t>
  </si>
  <si>
    <t>Settled Time</t>
  </si>
  <si>
    <t>Irradiance Summary</t>
  </si>
  <si>
    <t>DC Run ID</t>
  </si>
  <si>
    <t>Average (W/m²)</t>
  </si>
  <si>
    <t>DC Curve File / Relative Path</t>
  </si>
  <si>
    <t>Min</t>
  </si>
  <si>
    <t>DC Curve Link</t>
  </si>
  <si>
    <t>Configuration Status</t>
  </si>
  <si>
    <t>Max</t>
  </si>
  <si>
    <t>Range</t>
  </si>
  <si>
    <t>Thermal Settling</t>
  </si>
  <si>
    <t>DC Curve Metrics</t>
  </si>
  <si>
    <t>Time (min)</t>
  </si>
  <si>
    <t>Centre Temp (°C)</t>
  </si>
  <si>
    <t>Voc (V)</t>
  </si>
  <si>
    <t>Isc (A)</t>
  </si>
  <si>
    <t>Vmp (V)</t>
  </si>
  <si>
    <t>Imp (A)</t>
  </si>
  <si>
    <t>Pmp (W)</t>
  </si>
  <si>
    <t>C02 - Environmental Configuration</t>
  </si>
  <si>
    <t>C02</t>
  </si>
  <si>
    <t>Distance sweep - mid / centre</t>
  </si>
  <si>
    <t>C03 - Environmental Configuration</t>
  </si>
  <si>
    <t>C03</t>
  </si>
  <si>
    <t>Distance sweep - near at mid Variac</t>
  </si>
  <si>
    <t>C04 - Environmental Configuration</t>
  </si>
  <si>
    <t>C04</t>
  </si>
  <si>
    <t>Variac sweep - low at mid distance</t>
  </si>
  <si>
    <t>C05 - Environmental Configuration</t>
  </si>
  <si>
    <t>C05</t>
  </si>
  <si>
    <t>Centre repeat / drift check</t>
  </si>
  <si>
    <t>C06 - Environmental Configuration</t>
  </si>
  <si>
    <t>C06</t>
  </si>
  <si>
    <t>Variac sweep - high at mid distance</t>
  </si>
  <si>
    <t>C07 - Environmental Configuration</t>
  </si>
  <si>
    <t>C07</t>
  </si>
  <si>
    <t>Fan effect at centre</t>
  </si>
  <si>
    <t>C08 - Environmental Configuration</t>
  </si>
  <si>
    <t>C08</t>
  </si>
  <si>
    <t>D-V corner: far / low</t>
  </si>
  <si>
    <t>C09 - Environmental Configuration</t>
  </si>
  <si>
    <t>C09</t>
  </si>
  <si>
    <t>D-V corner: far / high</t>
  </si>
  <si>
    <t>C10 - Environmental Configuration</t>
  </si>
  <si>
    <t>C10</t>
  </si>
  <si>
    <t>D-V corner: near / low</t>
  </si>
  <si>
    <t>C11 - Environmental Configuration</t>
  </si>
  <si>
    <t>C11</t>
  </si>
  <si>
    <t>D-V corner: near / high</t>
  </si>
  <si>
    <t>C12 - Environmental Configuration</t>
  </si>
  <si>
    <t>C12</t>
  </si>
  <si>
    <t>Targeted fan-off: choose low-G condition after map</t>
  </si>
  <si>
    <t>C13 - Environmental Configuration</t>
  </si>
  <si>
    <t>C13</t>
  </si>
  <si>
    <t>Targeted fan-off: choose high-G condition after map</t>
  </si>
  <si>
    <t>Environmental Rig Characterisation Tracker</t>
  </si>
  <si>
    <t>KPI</t>
  </si>
  <si>
    <t>How to use: 1) Enter actual D1/D2/D3 and V1/V2/V3 levels on Setup. 2) Complete each Config sheet with the 3×3 T and G grids, thermal settling data, DC Run ID and DC file path. 3) Summary updates automatically. For C12/C13, enter the targeted distance and Variac manually after reviewing the first map.</t>
  </si>
  <si>
    <t>Configurations Complete</t>
  </si>
  <si>
    <t>G Range Observed (W/m²)</t>
  </si>
  <si>
    <t>Centre Repeat Drift Check</t>
  </si>
  <si>
    <t>T Range Observed (°C)</t>
  </si>
  <si>
    <t>Order</t>
  </si>
  <si>
    <t>T Avg (°C)</t>
  </si>
  <si>
    <t>T Range</t>
  </si>
  <si>
    <t>T CV (%)</t>
  </si>
  <si>
    <t>G Avg (W/m²)</t>
  </si>
  <si>
    <t>G Range</t>
  </si>
  <si>
    <t>G CV (%)</t>
  </si>
  <si>
    <t>DC Curve File</t>
  </si>
  <si>
    <t>Quick Links</t>
  </si>
  <si>
    <t>Open 01</t>
  </si>
  <si>
    <t>Open 02</t>
  </si>
  <si>
    <t>Open 03</t>
  </si>
  <si>
    <t>Open 04</t>
  </si>
  <si>
    <t>Open 05</t>
  </si>
  <si>
    <t>Open 06</t>
  </si>
  <si>
    <t>Open 07</t>
  </si>
  <si>
    <t>Open 08</t>
  </si>
  <si>
    <t>Open 09</t>
  </si>
  <si>
    <t>Open 10</t>
  </si>
  <si>
    <t>Open 11</t>
  </si>
  <si>
    <t>Open 12</t>
  </si>
  <si>
    <t>Open 13</t>
  </si>
  <si>
    <t>D2 V2 FON</t>
  </si>
  <si>
    <t>D3 V2 FON</t>
  </si>
  <si>
    <t>D1 V2 FON</t>
  </si>
  <si>
    <t>D2 V1 FON</t>
  </si>
  <si>
    <t>D2 V3 FON</t>
  </si>
  <si>
    <t>20260901_GSM_HLT_DC_R01</t>
  </si>
  <si>
    <t>20260901_GSM_HLT_DC_R02</t>
  </si>
  <si>
    <t>20260901_GSM_HLT_DC_R03</t>
  </si>
  <si>
    <t>20260901_GSM_HLT_DC_R04</t>
  </si>
  <si>
    <t>20260901_GSM_HLT_DC_R05</t>
  </si>
  <si>
    <t>D2 V2 FOFF</t>
  </si>
  <si>
    <t>D3 V3 FON</t>
  </si>
  <si>
    <t>D1 V1 FON</t>
  </si>
  <si>
    <t>20260902_GSM_HLT_DC_R01</t>
  </si>
  <si>
    <t>20260902_GSM_HLT_DC_R02</t>
  </si>
  <si>
    <t>20260902_GSM_HLT_DC_R03</t>
  </si>
  <si>
    <t>20260902_GSM_HLT_DC_R04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</si>
</sst>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>
    <font>
      <sz val="11"/>
      <name val="Carlito"/>
    </font>
    <font>
      <b/>
      <sz val="15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color rgb="FF222222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AF1F6"/>
      </patternFill>
    </fill>
    <fill>
      <patternFill patternType="solid">
        <fgColor rgb="FFF4F5F6"/>
      </patternFill>
    </fill>
    <fill>
      <patternFill patternType="solid">
        <fgColor rgb="FF2F5D7E"/>
      </patternFill>
    </fill>
    <fill>
      <patternFill patternType="solid">
        <fgColor rgb="FFFFF7ED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2" fillId="4" borderId="0" xfId="0" applyFont="1" applyFill="1"/>
    <xf numFmtId="164" fontId="0" fillId="0" borderId="0" xfId="0" applyNumberFormat="1"/>
    <xf numFmtId="0" fontId="3" fillId="5" borderId="0" xfId="0" applyFont="1" applyFill="1"/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  <xf numFmtId="164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0" borderId="0" xfId="0" applyNumberFormat="1"/>
    <xf numFmtId="165" fontId="0" fillId="0" borderId="0" xfId="0" applyNumberFormat="1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0" xfId="0" applyFont="1" applyFill="1" applyAlignment="1">
      <alignment vertical="center" wrapText="1"/>
    </xf>
  </cellXfs>
  <cellStyles count="1">
    <cellStyle name="Normal" xfId="0" builtinId="0"/>
  </cellStyles>
  <dxfs count="42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sqref="A1:H1"/>
    </sheetView>
  </sheetViews>
  <sheetFormatPr baseColWidth="10" defaultColWidth="8.83203125" defaultRowHeight="15"/>
  <cols>
    <col min="1" max="1" width="23" customWidth="1"/>
    <col min="2" max="2" width="34" customWidth="1"/>
    <col min="3" max="3" width="4" customWidth="1"/>
    <col min="4" max="4" width="22" customWidth="1"/>
    <col min="5" max="5" width="14" customWidth="1"/>
    <col min="6" max="6" width="4" customWidth="1"/>
    <col min="7" max="7" width="22" customWidth="1"/>
    <col min="8" max="8" width="14" customWidth="1"/>
  </cols>
  <sheetData>
    <row r="1" spans="1:8" ht="37.25" customHeight="1">
      <c r="A1" s="24" t="s">
        <v>0</v>
      </c>
      <c r="B1" s="24"/>
      <c r="C1" s="24"/>
      <c r="D1" s="24"/>
      <c r="E1" s="24"/>
      <c r="F1" s="24"/>
      <c r="G1" s="24"/>
      <c r="H1" s="24"/>
    </row>
    <row r="3" spans="1:8" ht="16">
      <c r="A3" s="2" t="s">
        <v>1</v>
      </c>
      <c r="B3" s="3"/>
      <c r="D3" s="5" t="s">
        <v>2</v>
      </c>
      <c r="E3" s="5" t="s">
        <v>3</v>
      </c>
      <c r="G3" s="5" t="s">
        <v>4</v>
      </c>
      <c r="H3" s="5" t="s">
        <v>5</v>
      </c>
    </row>
    <row r="4" spans="1:8" ht="16">
      <c r="A4" s="2" t="s">
        <v>6</v>
      </c>
      <c r="B4" s="3" t="s">
        <v>7</v>
      </c>
      <c r="D4" s="6" t="s">
        <v>8</v>
      </c>
      <c r="E4" s="7"/>
      <c r="G4" s="6" t="s">
        <v>9</v>
      </c>
      <c r="H4" s="7"/>
    </row>
    <row r="5" spans="1:8" ht="16">
      <c r="A5" s="2" t="s">
        <v>10</v>
      </c>
      <c r="B5" s="3" t="s">
        <v>11</v>
      </c>
      <c r="D5" s="6" t="s">
        <v>12</v>
      </c>
      <c r="E5" s="7"/>
      <c r="G5" s="6" t="s">
        <v>13</v>
      </c>
      <c r="H5" s="7"/>
    </row>
    <row r="6" spans="1:8" ht="16">
      <c r="A6" s="2" t="s">
        <v>14</v>
      </c>
      <c r="B6" s="3" t="s">
        <v>15</v>
      </c>
      <c r="D6" s="6" t="s">
        <v>16</v>
      </c>
      <c r="E6" s="7"/>
      <c r="G6" s="6" t="s">
        <v>17</v>
      </c>
      <c r="H6" s="7"/>
    </row>
    <row r="7" spans="1:8" ht="16">
      <c r="A7" s="2" t="s">
        <v>18</v>
      </c>
      <c r="B7" s="3"/>
    </row>
    <row r="8" spans="1:8" ht="32">
      <c r="A8" s="2" t="s">
        <v>19</v>
      </c>
      <c r="B8" s="3"/>
      <c r="D8" s="25" t="s">
        <v>20</v>
      </c>
      <c r="E8" s="25"/>
      <c r="F8" s="25"/>
      <c r="G8" s="25"/>
      <c r="H8" s="25"/>
    </row>
    <row r="9" spans="1:8" ht="96">
      <c r="A9" s="2" t="s">
        <v>21</v>
      </c>
      <c r="B9" s="3"/>
      <c r="D9" s="9" t="s">
        <v>22</v>
      </c>
      <c r="E9" s="9" t="s">
        <v>23</v>
      </c>
      <c r="F9" s="9" t="s">
        <v>24</v>
      </c>
      <c r="G9" s="9" t="s">
        <v>25</v>
      </c>
      <c r="H9" s="9" t="s">
        <v>26</v>
      </c>
    </row>
    <row r="10" spans="1:8" ht="80">
      <c r="D10" s="3" t="s">
        <v>27</v>
      </c>
      <c r="E10" s="3" t="s">
        <v>28</v>
      </c>
      <c r="F10" s="3" t="s">
        <v>29</v>
      </c>
      <c r="G10" s="3" t="s">
        <v>30</v>
      </c>
      <c r="H10" s="3"/>
    </row>
    <row r="11" spans="1:8" ht="80">
      <c r="D11" s="3" t="s">
        <v>31</v>
      </c>
      <c r="E11" s="3" t="s">
        <v>32</v>
      </c>
      <c r="F11" s="3" t="s">
        <v>33</v>
      </c>
      <c r="G11" s="3" t="s">
        <v>34</v>
      </c>
      <c r="H11" s="3"/>
    </row>
    <row r="12" spans="1:8" ht="64">
      <c r="D12" s="3" t="s">
        <v>35</v>
      </c>
      <c r="E12" s="3" t="s">
        <v>36</v>
      </c>
      <c r="F12" s="3" t="s">
        <v>37</v>
      </c>
      <c r="G12" s="3" t="s">
        <v>38</v>
      </c>
      <c r="H12" s="3"/>
    </row>
    <row r="13" spans="1:8" ht="80">
      <c r="D13" s="3" t="s">
        <v>39</v>
      </c>
      <c r="E13" s="3" t="s">
        <v>40</v>
      </c>
      <c r="F13" s="3" t="s">
        <v>41</v>
      </c>
      <c r="G13" s="3" t="s">
        <v>42</v>
      </c>
      <c r="H13" s="3"/>
    </row>
  </sheetData>
  <mergeCells count="2">
    <mergeCell ref="A1:H1"/>
    <mergeCell ref="D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8.83203125" defaultRowHeight="15"/>
  <cols>
    <col min="1" max="3" width="18" customWidth="1"/>
  </cols>
  <sheetData>
    <row r="1" spans="1:3">
      <c r="A1" s="4" t="s">
        <v>43</v>
      </c>
      <c r="B1" s="4" t="s">
        <v>44</v>
      </c>
      <c r="C1" s="4" t="s">
        <v>45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49</v>
      </c>
      <c r="B3" t="s">
        <v>50</v>
      </c>
      <c r="C3" t="s">
        <v>51</v>
      </c>
    </row>
    <row r="4" spans="1:3">
      <c r="B4" t="s">
        <v>52</v>
      </c>
      <c r="C4" t="s">
        <v>53</v>
      </c>
    </row>
    <row r="5" spans="1:3">
      <c r="B5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workbookViewId="0">
      <selection activeCell="D26" sqref="D26"/>
    </sheetView>
  </sheetViews>
  <sheetFormatPr baseColWidth="10" defaultColWidth="8.83203125" defaultRowHeight="15"/>
  <cols>
    <col min="1" max="1" width="22" customWidth="1"/>
    <col min="2" max="2" width="28" customWidth="1"/>
    <col min="3" max="3" width="4" customWidth="1"/>
    <col min="4" max="6" width="13" customWidth="1"/>
    <col min="7" max="7" width="4" customWidth="1"/>
    <col min="8" max="8" width="22" customWidth="1"/>
    <col min="9" max="9" width="14" customWidth="1"/>
    <col min="10" max="10" width="3" customWidth="1"/>
  </cols>
  <sheetData>
    <row r="1" spans="1:10" ht="34.75" customHeight="1">
      <c r="A1" s="26" t="s">
        <v>55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ht="16">
      <c r="A3" s="2" t="s">
        <v>56</v>
      </c>
      <c r="B3" s="3" t="s">
        <v>57</v>
      </c>
      <c r="D3" s="25" t="s">
        <v>58</v>
      </c>
      <c r="E3" s="25"/>
      <c r="F3" s="25"/>
      <c r="H3" s="4" t="s">
        <v>59</v>
      </c>
      <c r="I3" s="4" t="s">
        <v>60</v>
      </c>
    </row>
    <row r="4" spans="1:10" ht="16">
      <c r="A4" s="2" t="s">
        <v>61</v>
      </c>
      <c r="B4" s="3"/>
      <c r="D4" s="12">
        <v>35.1</v>
      </c>
      <c r="E4" s="12">
        <v>35</v>
      </c>
      <c r="F4" s="12">
        <v>31.2</v>
      </c>
      <c r="H4" s="6" t="s">
        <v>62</v>
      </c>
      <c r="I4" s="14">
        <f>IF(COUNT(D4:F6)=0,"",AVERAGE(D4:F6))</f>
        <v>34.688888888888897</v>
      </c>
    </row>
    <row r="5" spans="1:10" ht="16">
      <c r="A5" s="2" t="s">
        <v>63</v>
      </c>
      <c r="B5" s="3" t="s">
        <v>156</v>
      </c>
      <c r="D5" s="12">
        <v>36.200000000000003</v>
      </c>
      <c r="E5" s="12">
        <v>35.299999999999997</v>
      </c>
      <c r="F5" s="12">
        <v>32</v>
      </c>
      <c r="H5" s="6" t="s">
        <v>65</v>
      </c>
      <c r="I5" s="14">
        <f>IF(COUNT(D4:F6)=0,"",MIN(D4:F6))</f>
        <v>31.2</v>
      </c>
    </row>
    <row r="6" spans="1:10" ht="16">
      <c r="A6" s="2" t="s">
        <v>3</v>
      </c>
      <c r="B6" s="10">
        <v>60</v>
      </c>
      <c r="D6" s="12">
        <v>36.9</v>
      </c>
      <c r="E6" s="12">
        <v>36</v>
      </c>
      <c r="F6" s="12">
        <v>34.5</v>
      </c>
      <c r="H6" s="6" t="s">
        <v>66</v>
      </c>
      <c r="I6" s="14">
        <f>IF(COUNT(D4:F6)=0,"",MAX(D4:F6))</f>
        <v>36.9</v>
      </c>
    </row>
    <row r="7" spans="1:10" ht="16">
      <c r="A7" s="2" t="s">
        <v>5</v>
      </c>
      <c r="B7" s="10">
        <v>150</v>
      </c>
      <c r="H7" s="6" t="s">
        <v>67</v>
      </c>
      <c r="I7" s="14">
        <f>IF(COUNT(D4:F6)=0,"",MAX(D4:F6)-MIN(D4:F6))</f>
        <v>5.6999999999999993</v>
      </c>
    </row>
    <row r="8" spans="1:10" ht="16">
      <c r="A8" s="2" t="s">
        <v>68</v>
      </c>
      <c r="B8" s="3" t="s">
        <v>46</v>
      </c>
      <c r="D8" s="25" t="s">
        <v>69</v>
      </c>
      <c r="E8" s="25"/>
      <c r="F8" s="25"/>
      <c r="H8" s="6" t="s">
        <v>70</v>
      </c>
      <c r="I8" s="14" t="e">
        <f ca="1">IF(COUNT(D4:F6)&lt;2,"",_xludf.STDEV.S(D4:F6)/AVERAGE(D4:F6)*100)</f>
        <v>#NAME?</v>
      </c>
    </row>
    <row r="9" spans="1:10" ht="16">
      <c r="A9" s="2" t="s">
        <v>71</v>
      </c>
      <c r="B9" s="11"/>
      <c r="D9" s="13">
        <v>236</v>
      </c>
      <c r="E9" s="13">
        <v>295</v>
      </c>
      <c r="F9" s="13">
        <v>245</v>
      </c>
    </row>
    <row r="10" spans="1:10" ht="16">
      <c r="A10" s="2" t="s">
        <v>72</v>
      </c>
      <c r="B10" s="11">
        <v>0.6479166666666667</v>
      </c>
      <c r="D10" s="13">
        <v>322</v>
      </c>
      <c r="E10" s="13">
        <v>350</v>
      </c>
      <c r="F10" s="13">
        <v>297</v>
      </c>
      <c r="H10" s="4" t="s">
        <v>73</v>
      </c>
      <c r="I10" s="4" t="s">
        <v>60</v>
      </c>
    </row>
    <row r="11" spans="1:10" ht="16">
      <c r="A11" s="2" t="s">
        <v>74</v>
      </c>
      <c r="B11" s="3"/>
      <c r="D11" s="13">
        <v>287</v>
      </c>
      <c r="E11" s="13">
        <v>300</v>
      </c>
      <c r="F11" s="13">
        <v>265</v>
      </c>
      <c r="H11" s="6" t="s">
        <v>75</v>
      </c>
      <c r="I11" s="14">
        <f>IF(COUNT(D9:F11)=0,"",AVERAGE(D9:F11))</f>
        <v>288.55555555555554</v>
      </c>
    </row>
    <row r="12" spans="1:10" ht="32">
      <c r="A12" s="2" t="s">
        <v>76</v>
      </c>
      <c r="B12" s="3" t="s">
        <v>161</v>
      </c>
      <c r="H12" s="6" t="s">
        <v>77</v>
      </c>
      <c r="I12" s="14">
        <f>IF(COUNT(D9:F11)=0,"",MIN(D9:F11))</f>
        <v>236</v>
      </c>
    </row>
    <row r="13" spans="1:10" ht="16">
      <c r="A13" s="2" t="s">
        <v>78</v>
      </c>
      <c r="B13" s="3" t="str">
        <f>IF(B12="","",HYPERLINK(B12,"Open DC curve"))</f>
        <v>Open DC curve</v>
      </c>
      <c r="D13" s="27" t="s">
        <v>79</v>
      </c>
      <c r="E13" s="27"/>
      <c r="F13" s="27"/>
      <c r="H13" s="6" t="s">
        <v>80</v>
      </c>
      <c r="I13" s="14">
        <f>IF(COUNT(D9:F11)=0,"",MAX(D9:F11))</f>
        <v>350</v>
      </c>
    </row>
    <row r="14" spans="1:10" ht="16">
      <c r="A14" s="2" t="s">
        <v>26</v>
      </c>
      <c r="B14" s="3"/>
      <c r="D14" s="28" t="s">
        <v>47</v>
      </c>
      <c r="E14" s="28"/>
      <c r="F14" s="28"/>
      <c r="H14" s="6" t="s">
        <v>81</v>
      </c>
      <c r="I14" s="14">
        <f>IF(COUNT(D9:F11)=0,"",MAX(D9:F11)-MIN(D9:F11))</f>
        <v>114</v>
      </c>
    </row>
    <row r="15" spans="1:10">
      <c r="H15" s="6" t="s">
        <v>70</v>
      </c>
      <c r="I15" s="14" t="e">
        <f ca="1">IF(COUNT(D9:F11)&lt;2,"",_xludf.STDEV.S(D9:F11)/AVERAGE(D9:F11)*100)</f>
        <v>#NAME?</v>
      </c>
    </row>
    <row r="17" spans="1:9">
      <c r="A17" s="4" t="s">
        <v>82</v>
      </c>
      <c r="B17" s="4"/>
      <c r="H17" s="4" t="s">
        <v>83</v>
      </c>
      <c r="I17" s="4" t="s">
        <v>60</v>
      </c>
    </row>
    <row r="18" spans="1:9">
      <c r="A18" s="16" t="s">
        <v>84</v>
      </c>
      <c r="B18" s="16" t="s">
        <v>85</v>
      </c>
      <c r="H18" s="6" t="s">
        <v>86</v>
      </c>
      <c r="I18" s="15"/>
    </row>
    <row r="19" spans="1:9">
      <c r="A19" s="17">
        <v>0</v>
      </c>
      <c r="B19" s="18"/>
      <c r="H19" s="6" t="s">
        <v>87</v>
      </c>
      <c r="I19" s="15"/>
    </row>
    <row r="20" spans="1:9">
      <c r="A20" s="17">
        <v>1</v>
      </c>
      <c r="B20" s="18"/>
      <c r="H20" s="6" t="s">
        <v>88</v>
      </c>
      <c r="I20" s="15"/>
    </row>
    <row r="21" spans="1:9">
      <c r="A21" s="17">
        <v>2</v>
      </c>
      <c r="B21" s="18"/>
      <c r="H21" s="6" t="s">
        <v>89</v>
      </c>
      <c r="I21" s="15"/>
    </row>
    <row r="22" spans="1:9">
      <c r="A22" s="17">
        <v>3</v>
      </c>
      <c r="B22" s="18"/>
      <c r="H22" s="6" t="s">
        <v>90</v>
      </c>
      <c r="I22" s="15"/>
    </row>
    <row r="23" spans="1:9">
      <c r="A23" s="17">
        <v>4</v>
      </c>
      <c r="B23" s="18"/>
    </row>
    <row r="24" spans="1:9">
      <c r="A24" s="17">
        <v>5</v>
      </c>
      <c r="B24" s="18"/>
    </row>
    <row r="25" spans="1:9">
      <c r="A25" s="17">
        <v>6</v>
      </c>
      <c r="B25" s="18"/>
    </row>
    <row r="26" spans="1:9">
      <c r="A26" s="17">
        <v>7</v>
      </c>
      <c r="B26" s="18"/>
    </row>
    <row r="27" spans="1:9">
      <c r="A27" s="17">
        <v>8</v>
      </c>
      <c r="B27" s="18"/>
    </row>
    <row r="28" spans="1:9">
      <c r="A28" s="17">
        <v>9</v>
      </c>
      <c r="B28" s="18"/>
    </row>
  </sheetData>
  <mergeCells count="5">
    <mergeCell ref="A1:J1"/>
    <mergeCell ref="D3:F3"/>
    <mergeCell ref="D8:F8"/>
    <mergeCell ref="D13:F13"/>
    <mergeCell ref="D14:F14"/>
  </mergeCells>
  <conditionalFormatting sqref="D14:F14">
    <cfRule type="expression" dxfId="41" priority="1">
      <formula>D14="Complete"</formula>
    </cfRule>
    <cfRule type="expression" dxfId="40" priority="2">
      <formula>D14="Recheck"</formula>
    </cfRule>
    <cfRule type="expression" dxfId="39" priority="3">
      <formula>D14="In Progress"</formula>
    </cfRule>
  </conditionalFormatting>
  <dataValidations count="2">
    <dataValidation type="list" sqref="B8" xr:uid="{00000000-0002-0000-0200-000000000000}">
      <formula1>"ON,OFF"</formula1>
    </dataValidation>
    <dataValidation type="list" sqref="D14:F14" xr:uid="{00000000-0002-0000-0200-000001000000}">
      <formula1>"Planned,In Progress,Complete,Recheck"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workbookViewId="0">
      <selection activeCell="B12" sqref="B12"/>
    </sheetView>
  </sheetViews>
  <sheetFormatPr baseColWidth="10" defaultColWidth="8.83203125" defaultRowHeight="15"/>
  <cols>
    <col min="1" max="1" width="22" customWidth="1"/>
    <col min="2" max="2" width="28" customWidth="1"/>
    <col min="3" max="3" width="4" customWidth="1"/>
    <col min="4" max="6" width="13" customWidth="1"/>
    <col min="7" max="7" width="4" customWidth="1"/>
    <col min="8" max="8" width="22" customWidth="1"/>
    <col min="9" max="9" width="14" customWidth="1"/>
    <col min="10" max="10" width="3" customWidth="1"/>
  </cols>
  <sheetData>
    <row r="1" spans="1:10" ht="34.75" customHeight="1">
      <c r="A1" s="26" t="s">
        <v>91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ht="16">
      <c r="A3" s="2" t="s">
        <v>56</v>
      </c>
      <c r="B3" s="3" t="s">
        <v>92</v>
      </c>
      <c r="D3" s="25" t="s">
        <v>58</v>
      </c>
      <c r="E3" s="25"/>
      <c r="F3" s="25"/>
      <c r="H3" s="4" t="s">
        <v>59</v>
      </c>
      <c r="I3" s="4" t="s">
        <v>60</v>
      </c>
    </row>
    <row r="4" spans="1:10" ht="16">
      <c r="A4" s="2" t="s">
        <v>61</v>
      </c>
      <c r="B4" s="3"/>
      <c r="D4" s="12">
        <v>30.8</v>
      </c>
      <c r="E4" s="12">
        <v>29.8</v>
      </c>
      <c r="F4" s="12">
        <v>28.9</v>
      </c>
      <c r="H4" s="6" t="s">
        <v>62</v>
      </c>
      <c r="I4" s="14">
        <f>IF(COUNT(D4:F6)=0,"",AVERAGE(D4:F6))</f>
        <v>30.588888888888889</v>
      </c>
    </row>
    <row r="5" spans="1:10" ht="16">
      <c r="A5" s="2" t="s">
        <v>63</v>
      </c>
      <c r="B5" s="3" t="s">
        <v>157</v>
      </c>
      <c r="D5" s="12">
        <v>31.3</v>
      </c>
      <c r="E5" s="12">
        <v>30.5</v>
      </c>
      <c r="F5" s="12">
        <v>29.1</v>
      </c>
      <c r="H5" s="6" t="s">
        <v>65</v>
      </c>
      <c r="I5" s="14">
        <f>IF(COUNT(D4:F6)=0,"",MIN(D4:F6))</f>
        <v>28.9</v>
      </c>
    </row>
    <row r="6" spans="1:10" ht="16">
      <c r="A6" s="2" t="s">
        <v>3</v>
      </c>
      <c r="B6" s="10">
        <v>90</v>
      </c>
      <c r="D6" s="12">
        <v>31.9</v>
      </c>
      <c r="E6" s="12">
        <v>32</v>
      </c>
      <c r="F6" s="12">
        <v>31</v>
      </c>
      <c r="H6" s="6" t="s">
        <v>66</v>
      </c>
      <c r="I6" s="14">
        <f>IF(COUNT(D4:F6)=0,"",MAX(D4:F6))</f>
        <v>32</v>
      </c>
    </row>
    <row r="7" spans="1:10" ht="16">
      <c r="A7" s="2" t="s">
        <v>5</v>
      </c>
      <c r="B7" s="10">
        <v>150</v>
      </c>
      <c r="H7" s="6" t="s">
        <v>67</v>
      </c>
      <c r="I7" s="14">
        <f>IF(COUNT(D4:F6)=0,"",MAX(D4:F6)-MIN(D4:F6))</f>
        <v>3.1000000000000014</v>
      </c>
    </row>
    <row r="8" spans="1:10" ht="16">
      <c r="A8" s="2" t="s">
        <v>68</v>
      </c>
      <c r="B8" s="3" t="s">
        <v>46</v>
      </c>
      <c r="D8" s="25" t="s">
        <v>69</v>
      </c>
      <c r="E8" s="25"/>
      <c r="F8" s="25"/>
      <c r="H8" s="6" t="s">
        <v>70</v>
      </c>
      <c r="I8" s="14" t="e">
        <f ca="1">IF(COUNT(D4:F6)&lt;2,"",_xludf.STDEV.S(D4:F6)/AVERAGE(D4:F6)*100)</f>
        <v>#NAME?</v>
      </c>
    </row>
    <row r="9" spans="1:10" ht="16">
      <c r="A9" s="2" t="s">
        <v>71</v>
      </c>
      <c r="B9" s="11"/>
      <c r="D9" s="13">
        <v>159</v>
      </c>
      <c r="E9" s="13">
        <v>170</v>
      </c>
      <c r="F9" s="13">
        <v>145</v>
      </c>
    </row>
    <row r="10" spans="1:10" ht="16">
      <c r="A10" s="2" t="s">
        <v>72</v>
      </c>
      <c r="B10" s="11">
        <v>0.66180555555555554</v>
      </c>
      <c r="D10" s="13">
        <v>186</v>
      </c>
      <c r="E10" s="13">
        <v>200</v>
      </c>
      <c r="F10" s="13">
        <v>179</v>
      </c>
      <c r="H10" s="4" t="s">
        <v>73</v>
      </c>
      <c r="I10" s="4" t="s">
        <v>60</v>
      </c>
    </row>
    <row r="11" spans="1:10" ht="16">
      <c r="A11" s="2" t="s">
        <v>74</v>
      </c>
      <c r="B11" s="3"/>
      <c r="D11" s="13">
        <v>174</v>
      </c>
      <c r="E11" s="13">
        <v>188</v>
      </c>
      <c r="F11" s="13">
        <v>170</v>
      </c>
      <c r="H11" s="6" t="s">
        <v>75</v>
      </c>
      <c r="I11" s="14">
        <f>IF(COUNT(D9:F11)=0,"",AVERAGE(D9:F11))</f>
        <v>174.55555555555554</v>
      </c>
    </row>
    <row r="12" spans="1:10" ht="32">
      <c r="A12" s="2" t="s">
        <v>76</v>
      </c>
      <c r="B12" s="3" t="s">
        <v>162</v>
      </c>
      <c r="H12" s="6" t="s">
        <v>77</v>
      </c>
      <c r="I12" s="14">
        <f>IF(COUNT(D9:F11)=0,"",MIN(D9:F11))</f>
        <v>145</v>
      </c>
    </row>
    <row r="13" spans="1:10" ht="16">
      <c r="A13" s="2" t="s">
        <v>78</v>
      </c>
      <c r="B13" s="3" t="str">
        <f>IF(B12="","",HYPERLINK(B12,"Open DC curve"))</f>
        <v>Open DC curve</v>
      </c>
      <c r="D13" s="27" t="s">
        <v>79</v>
      </c>
      <c r="E13" s="27"/>
      <c r="F13" s="27"/>
      <c r="H13" s="6" t="s">
        <v>80</v>
      </c>
      <c r="I13" s="14">
        <f>IF(COUNT(D9:F11)=0,"",MAX(D9:F11))</f>
        <v>200</v>
      </c>
    </row>
    <row r="14" spans="1:10" ht="16">
      <c r="A14" s="2" t="s">
        <v>26</v>
      </c>
      <c r="B14" s="3"/>
      <c r="D14" s="28" t="s">
        <v>47</v>
      </c>
      <c r="E14" s="28"/>
      <c r="F14" s="28"/>
      <c r="H14" s="6" t="s">
        <v>81</v>
      </c>
      <c r="I14" s="14">
        <f>IF(COUNT(D9:F11)=0,"",MAX(D9:F11)-MIN(D9:F11))</f>
        <v>55</v>
      </c>
    </row>
    <row r="15" spans="1:10">
      <c r="H15" s="6" t="s">
        <v>70</v>
      </c>
      <c r="I15" s="14" t="e">
        <f ca="1">IF(COUNT(D9:F11)&lt;2,"",_xludf.STDEV.S(D9:F11)/AVERAGE(D9:F11)*100)</f>
        <v>#NAME?</v>
      </c>
    </row>
    <row r="17" spans="1:9">
      <c r="A17" s="4" t="s">
        <v>82</v>
      </c>
      <c r="B17" s="4"/>
      <c r="H17" s="4" t="s">
        <v>83</v>
      </c>
      <c r="I17" s="4" t="s">
        <v>60</v>
      </c>
    </row>
    <row r="18" spans="1:9">
      <c r="A18" s="16" t="s">
        <v>84</v>
      </c>
      <c r="B18" s="16" t="s">
        <v>85</v>
      </c>
      <c r="H18" s="6" t="s">
        <v>86</v>
      </c>
      <c r="I18" s="15"/>
    </row>
    <row r="19" spans="1:9">
      <c r="A19" s="17">
        <v>0</v>
      </c>
      <c r="B19" s="18"/>
      <c r="H19" s="6" t="s">
        <v>87</v>
      </c>
      <c r="I19" s="15"/>
    </row>
    <row r="20" spans="1:9">
      <c r="A20" s="17">
        <v>1</v>
      </c>
      <c r="B20" s="18"/>
      <c r="H20" s="6" t="s">
        <v>88</v>
      </c>
      <c r="I20" s="15"/>
    </row>
    <row r="21" spans="1:9">
      <c r="A21" s="17">
        <v>2</v>
      </c>
      <c r="B21" s="18"/>
      <c r="H21" s="6" t="s">
        <v>89</v>
      </c>
      <c r="I21" s="15"/>
    </row>
    <row r="22" spans="1:9">
      <c r="A22" s="17">
        <v>3</v>
      </c>
      <c r="B22" s="18"/>
      <c r="H22" s="6" t="s">
        <v>90</v>
      </c>
      <c r="I22" s="15"/>
    </row>
    <row r="23" spans="1:9">
      <c r="A23" s="17">
        <v>4</v>
      </c>
      <c r="B23" s="18"/>
    </row>
    <row r="24" spans="1:9">
      <c r="A24" s="17">
        <v>5</v>
      </c>
      <c r="B24" s="18"/>
    </row>
    <row r="25" spans="1:9">
      <c r="A25" s="17">
        <v>6</v>
      </c>
      <c r="B25" s="18"/>
    </row>
    <row r="26" spans="1:9">
      <c r="A26" s="17">
        <v>7</v>
      </c>
      <c r="B26" s="18"/>
    </row>
    <row r="27" spans="1:9">
      <c r="A27" s="17">
        <v>8</v>
      </c>
      <c r="B27" s="18"/>
    </row>
    <row r="28" spans="1:9">
      <c r="A28" s="17">
        <v>9</v>
      </c>
      <c r="B28" s="18"/>
    </row>
  </sheetData>
  <mergeCells count="5">
    <mergeCell ref="A1:J1"/>
    <mergeCell ref="D3:F3"/>
    <mergeCell ref="D8:F8"/>
    <mergeCell ref="D13:F13"/>
    <mergeCell ref="D14:F14"/>
  </mergeCells>
  <conditionalFormatting sqref="D14:F14">
    <cfRule type="expression" dxfId="38" priority="1">
      <formula>D14="Complete"</formula>
    </cfRule>
    <cfRule type="expression" dxfId="37" priority="2">
      <formula>D14="Recheck"</formula>
    </cfRule>
    <cfRule type="expression" dxfId="36" priority="3">
      <formula>D14="In Progress"</formula>
    </cfRule>
  </conditionalFormatting>
  <dataValidations count="2">
    <dataValidation type="list" sqref="B8" xr:uid="{00000000-0002-0000-0300-000000000000}">
      <formula1>"ON,OFF"</formula1>
    </dataValidation>
    <dataValidation type="list" sqref="D14:F14" xr:uid="{00000000-0002-0000-0300-000001000000}">
      <formula1>"Planned,In Progress,Complete,Recheck"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workbookViewId="0">
      <selection activeCell="B12" sqref="B12"/>
    </sheetView>
  </sheetViews>
  <sheetFormatPr baseColWidth="10" defaultColWidth="8.83203125" defaultRowHeight="15"/>
  <cols>
    <col min="1" max="1" width="22" customWidth="1"/>
    <col min="2" max="2" width="34.6640625" customWidth="1"/>
    <col min="3" max="3" width="4" customWidth="1"/>
    <col min="4" max="6" width="13" customWidth="1"/>
    <col min="7" max="7" width="4" customWidth="1"/>
    <col min="8" max="8" width="22" customWidth="1"/>
    <col min="9" max="9" width="14" customWidth="1"/>
    <col min="10" max="10" width="3" customWidth="1"/>
  </cols>
  <sheetData>
    <row r="1" spans="1:10" ht="34.75" customHeight="1">
      <c r="A1" s="26" t="s">
        <v>94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ht="16">
      <c r="A3" s="2" t="s">
        <v>56</v>
      </c>
      <c r="B3" s="3" t="s">
        <v>95</v>
      </c>
      <c r="D3" s="25" t="s">
        <v>58</v>
      </c>
      <c r="E3" s="25"/>
      <c r="F3" s="25"/>
      <c r="H3" s="4" t="s">
        <v>59</v>
      </c>
      <c r="I3" s="4" t="s">
        <v>60</v>
      </c>
    </row>
    <row r="4" spans="1:10" ht="16">
      <c r="A4" s="2" t="s">
        <v>61</v>
      </c>
      <c r="B4" s="3"/>
      <c r="D4" s="12">
        <v>40.5</v>
      </c>
      <c r="E4" s="12">
        <v>40.5</v>
      </c>
      <c r="F4" s="12">
        <v>35.1</v>
      </c>
      <c r="H4" s="6" t="s">
        <v>62</v>
      </c>
      <c r="I4" s="14">
        <f>IF(COUNT(D4:F6)=0,"",AVERAGE(D4:F6))</f>
        <v>41.577777777777783</v>
      </c>
    </row>
    <row r="5" spans="1:10" ht="16">
      <c r="A5" s="2" t="s">
        <v>63</v>
      </c>
      <c r="B5" s="3" t="s">
        <v>158</v>
      </c>
      <c r="D5" s="12">
        <v>44.2</v>
      </c>
      <c r="E5" s="12">
        <v>44.3</v>
      </c>
      <c r="F5" s="12">
        <v>36.5</v>
      </c>
      <c r="H5" s="6" t="s">
        <v>65</v>
      </c>
      <c r="I5" s="14">
        <f>IF(COUNT(D4:F6)=0,"",MIN(D4:F6))</f>
        <v>35.1</v>
      </c>
    </row>
    <row r="6" spans="1:10" ht="16">
      <c r="A6" s="2" t="s">
        <v>3</v>
      </c>
      <c r="B6" s="10">
        <v>30</v>
      </c>
      <c r="D6" s="12">
        <v>44.3</v>
      </c>
      <c r="E6" s="12">
        <v>45.5</v>
      </c>
      <c r="F6" s="12">
        <v>43.3</v>
      </c>
      <c r="H6" s="6" t="s">
        <v>66</v>
      </c>
      <c r="I6" s="14">
        <f>IF(COUNT(D4:F6)=0,"",MAX(D4:F6))</f>
        <v>45.5</v>
      </c>
    </row>
    <row r="7" spans="1:10" ht="16">
      <c r="A7" s="2" t="s">
        <v>5</v>
      </c>
      <c r="B7" s="10">
        <v>150</v>
      </c>
      <c r="H7" s="6" t="s">
        <v>67</v>
      </c>
      <c r="I7" s="14">
        <f>IF(COUNT(D4:F6)=0,"",MAX(D4:F6)-MIN(D4:F6))</f>
        <v>10.399999999999999</v>
      </c>
    </row>
    <row r="8" spans="1:10" ht="16">
      <c r="A8" s="2" t="s">
        <v>68</v>
      </c>
      <c r="B8" s="3" t="s">
        <v>46</v>
      </c>
      <c r="D8" s="25" t="s">
        <v>69</v>
      </c>
      <c r="E8" s="25"/>
      <c r="F8" s="25"/>
      <c r="H8" s="6" t="s">
        <v>70</v>
      </c>
      <c r="I8" s="14" t="e">
        <f ca="1">IF(COUNT(D4:F6)&lt;2,"",_xludf.STDEV.S(D4:F6)/AVERAGE(D4:F6)*100)</f>
        <v>#NAME?</v>
      </c>
    </row>
    <row r="9" spans="1:10" ht="16">
      <c r="A9" s="2" t="s">
        <v>71</v>
      </c>
      <c r="B9" s="11"/>
      <c r="D9" s="13">
        <v>478</v>
      </c>
      <c r="E9" s="13">
        <v>639</v>
      </c>
      <c r="F9" s="13">
        <v>500</v>
      </c>
    </row>
    <row r="10" spans="1:10" ht="16">
      <c r="A10" s="2" t="s">
        <v>72</v>
      </c>
      <c r="B10" s="11">
        <v>0.67777777777777781</v>
      </c>
      <c r="D10" s="13">
        <v>476</v>
      </c>
      <c r="E10" s="13">
        <v>645</v>
      </c>
      <c r="F10" s="13">
        <v>550</v>
      </c>
      <c r="H10" s="4" t="s">
        <v>73</v>
      </c>
      <c r="I10" s="4" t="s">
        <v>60</v>
      </c>
    </row>
    <row r="11" spans="1:10" ht="16">
      <c r="A11" s="2" t="s">
        <v>74</v>
      </c>
      <c r="B11" s="3"/>
      <c r="D11" s="13">
        <v>445</v>
      </c>
      <c r="E11" s="13">
        <v>560</v>
      </c>
      <c r="F11" s="13">
        <v>605</v>
      </c>
      <c r="H11" s="6" t="s">
        <v>75</v>
      </c>
      <c r="I11" s="14">
        <f>IF(COUNT(D9:F11)=0,"",AVERAGE(D9:F11))</f>
        <v>544.22222222222217</v>
      </c>
    </row>
    <row r="12" spans="1:10" ht="32">
      <c r="A12" s="2" t="s">
        <v>76</v>
      </c>
      <c r="B12" s="3" t="s">
        <v>163</v>
      </c>
      <c r="H12" s="6" t="s">
        <v>77</v>
      </c>
      <c r="I12" s="14">
        <f>IF(COUNT(D9:F11)=0,"",MIN(D9:F11))</f>
        <v>445</v>
      </c>
    </row>
    <row r="13" spans="1:10" ht="16">
      <c r="A13" s="2" t="s">
        <v>78</v>
      </c>
      <c r="B13" s="3" t="str">
        <f>IF(B12="","",HYPERLINK(B12,"Open DC curve"))</f>
        <v>Open DC curve</v>
      </c>
      <c r="D13" s="27" t="s">
        <v>79</v>
      </c>
      <c r="E13" s="27"/>
      <c r="F13" s="27"/>
      <c r="H13" s="6" t="s">
        <v>80</v>
      </c>
      <c r="I13" s="14">
        <f>IF(COUNT(D9:F11)=0,"",MAX(D9:F11))</f>
        <v>645</v>
      </c>
    </row>
    <row r="14" spans="1:10" ht="16">
      <c r="A14" s="2" t="s">
        <v>26</v>
      </c>
      <c r="B14" s="3"/>
      <c r="D14" s="28" t="s">
        <v>47</v>
      </c>
      <c r="E14" s="28"/>
      <c r="F14" s="28"/>
      <c r="H14" s="6" t="s">
        <v>81</v>
      </c>
      <c r="I14" s="14">
        <f>IF(COUNT(D9:F11)=0,"",MAX(D9:F11)-MIN(D9:F11))</f>
        <v>200</v>
      </c>
    </row>
    <row r="15" spans="1:10">
      <c r="H15" s="6" t="s">
        <v>70</v>
      </c>
      <c r="I15" s="14" t="e">
        <f ca="1">IF(COUNT(D9:F11)&lt;2,"",_xludf.STDEV.S(D9:F11)/AVERAGE(D9:F11)*100)</f>
        <v>#NAME?</v>
      </c>
    </row>
    <row r="17" spans="1:9">
      <c r="A17" s="4" t="s">
        <v>82</v>
      </c>
      <c r="B17" s="4"/>
      <c r="H17" s="4" t="s">
        <v>83</v>
      </c>
      <c r="I17" s="4" t="s">
        <v>60</v>
      </c>
    </row>
    <row r="18" spans="1:9">
      <c r="A18" s="16" t="s">
        <v>84</v>
      </c>
      <c r="B18" s="16" t="s">
        <v>85</v>
      </c>
      <c r="H18" s="6" t="s">
        <v>86</v>
      </c>
      <c r="I18" s="15"/>
    </row>
    <row r="19" spans="1:9">
      <c r="A19" s="17">
        <v>0</v>
      </c>
      <c r="B19" s="18"/>
      <c r="H19" s="6" t="s">
        <v>87</v>
      </c>
      <c r="I19" s="15"/>
    </row>
    <row r="20" spans="1:9">
      <c r="A20" s="17">
        <v>1</v>
      </c>
      <c r="B20" s="18"/>
      <c r="H20" s="6" t="s">
        <v>88</v>
      </c>
      <c r="I20" s="15"/>
    </row>
    <row r="21" spans="1:9">
      <c r="A21" s="17">
        <v>2</v>
      </c>
      <c r="B21" s="18"/>
      <c r="H21" s="6" t="s">
        <v>89</v>
      </c>
      <c r="I21" s="15"/>
    </row>
    <row r="22" spans="1:9">
      <c r="A22" s="17">
        <v>3</v>
      </c>
      <c r="B22" s="18"/>
      <c r="H22" s="6" t="s">
        <v>90</v>
      </c>
      <c r="I22" s="15"/>
    </row>
    <row r="23" spans="1:9">
      <c r="A23" s="17">
        <v>4</v>
      </c>
      <c r="B23" s="18"/>
    </row>
    <row r="24" spans="1:9">
      <c r="A24" s="17">
        <v>5</v>
      </c>
      <c r="B24" s="18"/>
    </row>
    <row r="25" spans="1:9">
      <c r="A25" s="17">
        <v>6</v>
      </c>
      <c r="B25" s="18"/>
    </row>
    <row r="26" spans="1:9">
      <c r="A26" s="17">
        <v>7</v>
      </c>
      <c r="B26" s="18"/>
    </row>
    <row r="27" spans="1:9">
      <c r="A27" s="17">
        <v>8</v>
      </c>
      <c r="B27" s="18"/>
    </row>
    <row r="28" spans="1:9">
      <c r="A28" s="17">
        <v>9</v>
      </c>
      <c r="B28" s="18"/>
    </row>
  </sheetData>
  <mergeCells count="5">
    <mergeCell ref="A1:J1"/>
    <mergeCell ref="D3:F3"/>
    <mergeCell ref="D8:F8"/>
    <mergeCell ref="D13:F13"/>
    <mergeCell ref="D14:F14"/>
  </mergeCells>
  <conditionalFormatting sqref="D14:F14">
    <cfRule type="expression" dxfId="35" priority="1">
      <formula>D14="Complete"</formula>
    </cfRule>
    <cfRule type="expression" dxfId="34" priority="2">
      <formula>D14="Recheck"</formula>
    </cfRule>
    <cfRule type="expression" dxfId="33" priority="3">
      <formula>D14="In Progress"</formula>
    </cfRule>
  </conditionalFormatting>
  <dataValidations count="2">
    <dataValidation type="list" sqref="B8" xr:uid="{00000000-0002-0000-0400-000000000000}">
      <formula1>"ON,OFF"</formula1>
    </dataValidation>
    <dataValidation type="list" sqref="D14:F14" xr:uid="{00000000-0002-0000-0400-000001000000}">
      <formula1>"Planned,In Progress,Complete,Recheck"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"/>
  <sheetViews>
    <sheetView workbookViewId="0">
      <selection activeCell="B12" sqref="B12"/>
    </sheetView>
  </sheetViews>
  <sheetFormatPr baseColWidth="10" defaultColWidth="8.83203125" defaultRowHeight="15"/>
  <cols>
    <col min="1" max="1" width="22" customWidth="1"/>
    <col min="2" max="2" width="28" customWidth="1"/>
    <col min="3" max="3" width="4" customWidth="1"/>
    <col min="4" max="6" width="13" customWidth="1"/>
    <col min="7" max="7" width="4" customWidth="1"/>
    <col min="8" max="8" width="22" customWidth="1"/>
    <col min="9" max="9" width="14" customWidth="1"/>
    <col min="10" max="10" width="3" customWidth="1"/>
  </cols>
  <sheetData>
    <row r="1" spans="1:10" ht="34.75" customHeight="1">
      <c r="A1" s="26" t="s">
        <v>97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ht="16">
      <c r="A3" s="2" t="s">
        <v>56</v>
      </c>
      <c r="B3" s="3" t="s">
        <v>98</v>
      </c>
      <c r="D3" s="25" t="s">
        <v>58</v>
      </c>
      <c r="E3" s="25"/>
      <c r="F3" s="25"/>
      <c r="H3" s="4" t="s">
        <v>59</v>
      </c>
      <c r="I3" s="4" t="s">
        <v>60</v>
      </c>
    </row>
    <row r="4" spans="1:10" ht="16">
      <c r="A4" s="2" t="s">
        <v>61</v>
      </c>
      <c r="B4" s="3"/>
      <c r="D4" s="12">
        <v>32.299999999999997</v>
      </c>
      <c r="E4" s="12">
        <v>32.1</v>
      </c>
      <c r="F4" s="12">
        <v>29.7</v>
      </c>
      <c r="H4" s="6" t="s">
        <v>62</v>
      </c>
      <c r="I4" s="14">
        <f>IF(COUNT(D4:F6)=0,"",AVERAGE(D4:F6))</f>
        <v>33.355555555555561</v>
      </c>
    </row>
    <row r="5" spans="1:10" ht="16">
      <c r="A5" s="2" t="s">
        <v>63</v>
      </c>
      <c r="B5" s="3" t="s">
        <v>159</v>
      </c>
      <c r="D5" s="12">
        <v>36</v>
      </c>
      <c r="E5" s="12">
        <v>34.1</v>
      </c>
      <c r="F5" s="12">
        <v>31.3</v>
      </c>
      <c r="H5" s="6" t="s">
        <v>65</v>
      </c>
      <c r="I5" s="14">
        <f>IF(COUNT(D4:F6)=0,"",MIN(D4:F6))</f>
        <v>29.7</v>
      </c>
    </row>
    <row r="6" spans="1:10" ht="16">
      <c r="A6" s="2" t="s">
        <v>3</v>
      </c>
      <c r="B6" s="10">
        <v>60</v>
      </c>
      <c r="D6" s="12">
        <v>35.1</v>
      </c>
      <c r="E6" s="12">
        <v>35.1</v>
      </c>
      <c r="F6" s="12">
        <v>34.5</v>
      </c>
      <c r="H6" s="6" t="s">
        <v>66</v>
      </c>
      <c r="I6" s="14">
        <f>IF(COUNT(D4:F6)=0,"",MAX(D4:F6))</f>
        <v>36</v>
      </c>
    </row>
    <row r="7" spans="1:10" ht="16">
      <c r="A7" s="2" t="s">
        <v>5</v>
      </c>
      <c r="B7" s="10">
        <v>120</v>
      </c>
      <c r="H7" s="6" t="s">
        <v>67</v>
      </c>
      <c r="I7" s="14">
        <f>IF(COUNT(D4:F6)=0,"",MAX(D4:F6)-MIN(D4:F6))</f>
        <v>6.3000000000000007</v>
      </c>
    </row>
    <row r="8" spans="1:10" ht="16">
      <c r="A8" s="2" t="s">
        <v>68</v>
      </c>
      <c r="B8" s="3" t="s">
        <v>46</v>
      </c>
      <c r="D8" s="25" t="s">
        <v>69</v>
      </c>
      <c r="E8" s="25"/>
      <c r="F8" s="25"/>
      <c r="H8" s="6" t="s">
        <v>70</v>
      </c>
      <c r="I8" s="14" t="e">
        <f ca="1">IF(COUNT(D4:F6)&lt;2,"",_xludf.STDEV.S(D4:F6)/AVERAGE(D4:F6)*100)</f>
        <v>#NAME?</v>
      </c>
    </row>
    <row r="9" spans="1:10" ht="16">
      <c r="A9" s="2" t="s">
        <v>71</v>
      </c>
      <c r="B9" s="11"/>
      <c r="D9" s="13">
        <v>150</v>
      </c>
      <c r="E9" s="13">
        <v>190</v>
      </c>
      <c r="F9" s="13">
        <v>155</v>
      </c>
    </row>
    <row r="10" spans="1:10" ht="16">
      <c r="A10" s="2" t="s">
        <v>72</v>
      </c>
      <c r="B10" s="11">
        <v>0.69027777777777777</v>
      </c>
      <c r="D10" s="13">
        <v>238</v>
      </c>
      <c r="E10" s="13">
        <v>270</v>
      </c>
      <c r="F10" s="13">
        <v>240</v>
      </c>
      <c r="H10" s="4" t="s">
        <v>73</v>
      </c>
      <c r="I10" s="4" t="s">
        <v>60</v>
      </c>
    </row>
    <row r="11" spans="1:10" ht="16">
      <c r="A11" s="2" t="s">
        <v>74</v>
      </c>
      <c r="B11" s="3"/>
      <c r="D11" s="13">
        <v>231</v>
      </c>
      <c r="E11" s="13">
        <v>277</v>
      </c>
      <c r="F11" s="13">
        <v>260</v>
      </c>
      <c r="H11" s="6" t="s">
        <v>75</v>
      </c>
      <c r="I11" s="14">
        <f>IF(COUNT(D9:F11)=0,"",AVERAGE(D9:F11))</f>
        <v>223.44444444444446</v>
      </c>
    </row>
    <row r="12" spans="1:10" ht="32">
      <c r="A12" s="2" t="s">
        <v>76</v>
      </c>
      <c r="B12" s="3" t="s">
        <v>164</v>
      </c>
      <c r="H12" s="6" t="s">
        <v>77</v>
      </c>
      <c r="I12" s="14">
        <f>IF(COUNT(D9:F11)=0,"",MIN(D9:F11))</f>
        <v>150</v>
      </c>
    </row>
    <row r="13" spans="1:10" ht="16">
      <c r="A13" s="2" t="s">
        <v>78</v>
      </c>
      <c r="B13" s="3" t="str">
        <f>IF(B12="","",HYPERLINK(B12,"Open DC curve"))</f>
        <v>Open DC curve</v>
      </c>
      <c r="D13" s="27" t="s">
        <v>79</v>
      </c>
      <c r="E13" s="27"/>
      <c r="F13" s="27"/>
      <c r="H13" s="6" t="s">
        <v>80</v>
      </c>
      <c r="I13" s="14">
        <f>IF(COUNT(D9:F11)=0,"",MAX(D9:F11))</f>
        <v>277</v>
      </c>
    </row>
    <row r="14" spans="1:10" ht="16">
      <c r="A14" s="2" t="s">
        <v>26</v>
      </c>
      <c r="B14" s="3"/>
      <c r="D14" s="28" t="s">
        <v>47</v>
      </c>
      <c r="E14" s="28"/>
      <c r="F14" s="28"/>
      <c r="H14" s="6" t="s">
        <v>81</v>
      </c>
      <c r="I14" s="14">
        <f>IF(COUNT(D9:F11)=0,"",MAX(D9:F11)-MIN(D9:F11))</f>
        <v>127</v>
      </c>
    </row>
    <row r="15" spans="1:10">
      <c r="H15" s="6" t="s">
        <v>70</v>
      </c>
      <c r="I15" s="14" t="e">
        <f ca="1">IF(COUNT(D9:F11)&lt;2,"",_xludf.STDEV.S(D9:F11)/AVERAGE(D9:F11)*100)</f>
        <v>#NAME?</v>
      </c>
    </row>
    <row r="17" spans="1:9">
      <c r="A17" s="4" t="s">
        <v>82</v>
      </c>
      <c r="B17" s="4"/>
      <c r="H17" s="4" t="s">
        <v>83</v>
      </c>
      <c r="I17" s="4" t="s">
        <v>60</v>
      </c>
    </row>
    <row r="18" spans="1:9">
      <c r="A18" s="16" t="s">
        <v>84</v>
      </c>
      <c r="B18" s="16" t="s">
        <v>85</v>
      </c>
      <c r="H18" s="6" t="s">
        <v>86</v>
      </c>
      <c r="I18" s="15"/>
    </row>
    <row r="19" spans="1:9">
      <c r="A19" s="17">
        <v>0</v>
      </c>
      <c r="B19" s="18"/>
      <c r="H19" s="6" t="s">
        <v>87</v>
      </c>
      <c r="I19" s="15"/>
    </row>
    <row r="20" spans="1:9">
      <c r="A20" s="17">
        <v>1</v>
      </c>
      <c r="B20" s="18"/>
      <c r="H20" s="6" t="s">
        <v>88</v>
      </c>
      <c r="I20" s="15"/>
    </row>
    <row r="21" spans="1:9">
      <c r="A21" s="17">
        <v>2</v>
      </c>
      <c r="B21" s="18"/>
      <c r="H21" s="6" t="s">
        <v>89</v>
      </c>
      <c r="I21" s="15"/>
    </row>
    <row r="22" spans="1:9">
      <c r="A22" s="17">
        <v>3</v>
      </c>
      <c r="B22" s="18"/>
      <c r="H22" s="6" t="s">
        <v>90</v>
      </c>
      <c r="I22" s="15"/>
    </row>
    <row r="23" spans="1:9">
      <c r="A23" s="17">
        <v>4</v>
      </c>
      <c r="B23" s="18"/>
    </row>
    <row r="24" spans="1:9">
      <c r="A24" s="17">
        <v>5</v>
      </c>
      <c r="B24" s="18"/>
    </row>
    <row r="25" spans="1:9">
      <c r="A25" s="17">
        <v>6</v>
      </c>
      <c r="B25" s="18"/>
    </row>
    <row r="26" spans="1:9">
      <c r="A26" s="17">
        <v>7</v>
      </c>
      <c r="B26" s="18"/>
    </row>
    <row r="27" spans="1:9">
      <c r="A27" s="17">
        <v>8</v>
      </c>
      <c r="B27" s="18"/>
    </row>
    <row r="28" spans="1:9">
      <c r="A28" s="17">
        <v>9</v>
      </c>
      <c r="B28" s="18"/>
    </row>
  </sheetData>
  <mergeCells count="5">
    <mergeCell ref="A1:J1"/>
    <mergeCell ref="D3:F3"/>
    <mergeCell ref="D8:F8"/>
    <mergeCell ref="D13:F13"/>
    <mergeCell ref="D14:F14"/>
  </mergeCells>
  <conditionalFormatting sqref="D14:F14">
    <cfRule type="expression" dxfId="32" priority="1">
      <formula>D14="Complete"</formula>
    </cfRule>
    <cfRule type="expression" dxfId="31" priority="2">
      <formula>D14="Recheck"</formula>
    </cfRule>
    <cfRule type="expression" dxfId="30" priority="3">
      <formula>D14="In Progress"</formula>
    </cfRule>
  </conditionalFormatting>
  <dataValidations count="2">
    <dataValidation type="list" sqref="B8" xr:uid="{00000000-0002-0000-0500-000000000000}">
      <formula1>"ON,OFF"</formula1>
    </dataValidation>
    <dataValidation type="list" sqref="D14:F14" xr:uid="{00000000-0002-0000-0500-000001000000}">
      <formula1>"Planned,In Progress,Complete,Recheck"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8"/>
  <sheetViews>
    <sheetView workbookViewId="0">
      <selection activeCell="B12" sqref="B12"/>
    </sheetView>
  </sheetViews>
  <sheetFormatPr baseColWidth="10" defaultColWidth="8.83203125" defaultRowHeight="15"/>
  <cols>
    <col min="1" max="1" width="22" customWidth="1"/>
    <col min="2" max="2" width="28" customWidth="1"/>
    <col min="3" max="3" width="4" customWidth="1"/>
    <col min="4" max="6" width="13" customWidth="1"/>
    <col min="7" max="7" width="4" customWidth="1"/>
    <col min="8" max="8" width="22" customWidth="1"/>
    <col min="9" max="9" width="14" customWidth="1"/>
    <col min="10" max="10" width="3" customWidth="1"/>
  </cols>
  <sheetData>
    <row r="1" spans="1:10" ht="34.75" customHeight="1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ht="16">
      <c r="A3" s="2" t="s">
        <v>56</v>
      </c>
      <c r="B3" s="3" t="s">
        <v>101</v>
      </c>
      <c r="D3" s="25" t="s">
        <v>58</v>
      </c>
      <c r="E3" s="25"/>
      <c r="F3" s="25"/>
      <c r="H3" s="4" t="s">
        <v>59</v>
      </c>
      <c r="I3" s="4" t="s">
        <v>60</v>
      </c>
    </row>
    <row r="4" spans="1:10" ht="16">
      <c r="A4" s="2" t="s">
        <v>61</v>
      </c>
      <c r="B4" s="3"/>
      <c r="D4" s="12">
        <v>41.5</v>
      </c>
      <c r="E4" s="12">
        <v>40.6</v>
      </c>
      <c r="F4" s="12">
        <v>36.4</v>
      </c>
      <c r="H4" s="6" t="s">
        <v>62</v>
      </c>
      <c r="I4" s="14">
        <f>IF(COUNT(D4:F6)=0,"",AVERAGE(D4:F6))</f>
        <v>41.3</v>
      </c>
    </row>
    <row r="5" spans="1:10" ht="16">
      <c r="A5" s="2" t="s">
        <v>63</v>
      </c>
      <c r="B5" s="3" t="s">
        <v>160</v>
      </c>
      <c r="D5" s="12">
        <v>44</v>
      </c>
      <c r="E5" s="12">
        <v>43.1</v>
      </c>
      <c r="F5" s="12">
        <v>37.1</v>
      </c>
      <c r="H5" s="6" t="s">
        <v>65</v>
      </c>
      <c r="I5" s="14">
        <f>IF(COUNT(D4:F6)=0,"",MIN(D4:F6))</f>
        <v>36.4</v>
      </c>
    </row>
    <row r="6" spans="1:10" ht="16">
      <c r="A6" s="2" t="s">
        <v>3</v>
      </c>
      <c r="B6" s="10">
        <v>60</v>
      </c>
      <c r="D6" s="12">
        <v>42.7</v>
      </c>
      <c r="E6" s="12">
        <v>43.5</v>
      </c>
      <c r="F6" s="12">
        <v>42.8</v>
      </c>
      <c r="H6" s="6" t="s">
        <v>66</v>
      </c>
      <c r="I6" s="14">
        <f>IF(COUNT(D4:F6)=0,"",MAX(D4:F6))</f>
        <v>44</v>
      </c>
    </row>
    <row r="7" spans="1:10" ht="16">
      <c r="A7" s="2" t="s">
        <v>5</v>
      </c>
      <c r="B7" s="10">
        <v>200</v>
      </c>
      <c r="H7" s="6" t="s">
        <v>67</v>
      </c>
      <c r="I7" s="14">
        <f>IF(COUNT(D4:F6)=0,"",MAX(D4:F6)-MIN(D4:F6))</f>
        <v>7.6000000000000014</v>
      </c>
    </row>
    <row r="8" spans="1:10" ht="16">
      <c r="A8" s="2" t="s">
        <v>68</v>
      </c>
      <c r="B8" s="3" t="s">
        <v>46</v>
      </c>
      <c r="D8" s="25" t="s">
        <v>69</v>
      </c>
      <c r="E8" s="25"/>
      <c r="F8" s="25"/>
      <c r="H8" s="6" t="s">
        <v>70</v>
      </c>
      <c r="I8" s="14" t="e">
        <f ca="1">IF(COUNT(D4:F6)&lt;2,"",_xludf.STDEV.S(D4:F6)/AVERAGE(D4:F6)*100)</f>
        <v>#NAME?</v>
      </c>
    </row>
    <row r="9" spans="1:10" ht="16">
      <c r="A9" s="2" t="s">
        <v>71</v>
      </c>
      <c r="B9" s="11"/>
      <c r="D9" s="13">
        <v>500</v>
      </c>
      <c r="E9" s="13">
        <v>605</v>
      </c>
      <c r="F9" s="13">
        <v>516</v>
      </c>
    </row>
    <row r="10" spans="1:10" ht="16">
      <c r="A10" s="2" t="s">
        <v>72</v>
      </c>
      <c r="B10" s="11">
        <v>0.7006944444444444</v>
      </c>
      <c r="D10" s="13">
        <v>600</v>
      </c>
      <c r="E10" s="13">
        <v>694</v>
      </c>
      <c r="F10" s="13">
        <v>608</v>
      </c>
      <c r="H10" s="4" t="s">
        <v>73</v>
      </c>
      <c r="I10" s="4" t="s">
        <v>60</v>
      </c>
    </row>
    <row r="11" spans="1:10" ht="16">
      <c r="A11" s="2" t="s">
        <v>74</v>
      </c>
      <c r="B11" s="3"/>
      <c r="D11" s="13">
        <v>544</v>
      </c>
      <c r="E11" s="13">
        <v>650</v>
      </c>
      <c r="F11" s="13">
        <v>593</v>
      </c>
      <c r="H11" s="6" t="s">
        <v>75</v>
      </c>
      <c r="I11" s="14">
        <f>IF(COUNT(D9:F11)=0,"",AVERAGE(D9:F11))</f>
        <v>590</v>
      </c>
    </row>
    <row r="12" spans="1:10" ht="32">
      <c r="A12" s="2" t="s">
        <v>76</v>
      </c>
      <c r="B12" s="3" t="s">
        <v>165</v>
      </c>
      <c r="H12" s="6" t="s">
        <v>77</v>
      </c>
      <c r="I12" s="14">
        <f>IF(COUNT(D9:F11)=0,"",MIN(D9:F11))</f>
        <v>500</v>
      </c>
    </row>
    <row r="13" spans="1:10" ht="16">
      <c r="A13" s="2" t="s">
        <v>78</v>
      </c>
      <c r="B13" s="3" t="str">
        <f>IF(B12="","",HYPERLINK(B12,"Open DC curve"))</f>
        <v>Open DC curve</v>
      </c>
      <c r="D13" s="27" t="s">
        <v>79</v>
      </c>
      <c r="E13" s="27"/>
      <c r="F13" s="27"/>
      <c r="H13" s="6" t="s">
        <v>80</v>
      </c>
      <c r="I13" s="14">
        <f>IF(COUNT(D9:F11)=0,"",MAX(D9:F11))</f>
        <v>694</v>
      </c>
    </row>
    <row r="14" spans="1:10" ht="16">
      <c r="A14" s="2" t="s">
        <v>26</v>
      </c>
      <c r="B14" s="3"/>
      <c r="D14" s="28" t="s">
        <v>47</v>
      </c>
      <c r="E14" s="28"/>
      <c r="F14" s="28"/>
      <c r="H14" s="6" t="s">
        <v>81</v>
      </c>
      <c r="I14" s="14">
        <f>IF(COUNT(D9:F11)=0,"",MAX(D9:F11)-MIN(D9:F11))</f>
        <v>194</v>
      </c>
    </row>
    <row r="15" spans="1:10">
      <c r="H15" s="6" t="s">
        <v>70</v>
      </c>
      <c r="I15" s="14" t="e">
        <f ca="1">IF(COUNT(D9:F11)&lt;2,"",_xludf.STDEV.S(D9:F11)/AVERAGE(D9:F11)*100)</f>
        <v>#NAME?</v>
      </c>
    </row>
    <row r="17" spans="1:9">
      <c r="A17" s="4" t="s">
        <v>82</v>
      </c>
      <c r="B17" s="4"/>
      <c r="H17" s="4" t="s">
        <v>83</v>
      </c>
      <c r="I17" s="4" t="s">
        <v>60</v>
      </c>
    </row>
    <row r="18" spans="1:9">
      <c r="A18" s="16" t="s">
        <v>84</v>
      </c>
      <c r="B18" s="16" t="s">
        <v>85</v>
      </c>
      <c r="H18" s="6" t="s">
        <v>86</v>
      </c>
      <c r="I18" s="15"/>
    </row>
    <row r="19" spans="1:9">
      <c r="A19" s="17">
        <v>0</v>
      </c>
      <c r="B19" s="18"/>
      <c r="H19" s="6" t="s">
        <v>87</v>
      </c>
      <c r="I19" s="15"/>
    </row>
    <row r="20" spans="1:9">
      <c r="A20" s="17">
        <v>1</v>
      </c>
      <c r="B20" s="18"/>
      <c r="H20" s="6" t="s">
        <v>88</v>
      </c>
      <c r="I20" s="15"/>
    </row>
    <row r="21" spans="1:9">
      <c r="A21" s="17">
        <v>2</v>
      </c>
      <c r="B21" s="18"/>
      <c r="H21" s="6" t="s">
        <v>89</v>
      </c>
      <c r="I21" s="15"/>
    </row>
    <row r="22" spans="1:9">
      <c r="A22" s="17">
        <v>3</v>
      </c>
      <c r="B22" s="18"/>
      <c r="H22" s="6" t="s">
        <v>90</v>
      </c>
      <c r="I22" s="15"/>
    </row>
    <row r="23" spans="1:9">
      <c r="A23" s="17">
        <v>4</v>
      </c>
      <c r="B23" s="18"/>
    </row>
    <row r="24" spans="1:9">
      <c r="A24" s="17">
        <v>5</v>
      </c>
      <c r="B24" s="18"/>
    </row>
    <row r="25" spans="1:9">
      <c r="A25" s="17">
        <v>6</v>
      </c>
      <c r="B25" s="18"/>
    </row>
    <row r="26" spans="1:9">
      <c r="A26" s="17">
        <v>7</v>
      </c>
      <c r="B26" s="18"/>
    </row>
    <row r="27" spans="1:9">
      <c r="A27" s="17">
        <v>8</v>
      </c>
      <c r="B27" s="18"/>
    </row>
    <row r="28" spans="1:9">
      <c r="A28" s="17">
        <v>9</v>
      </c>
      <c r="B28" s="18"/>
    </row>
  </sheetData>
  <mergeCells count="5">
    <mergeCell ref="A1:J1"/>
    <mergeCell ref="D3:F3"/>
    <mergeCell ref="D8:F8"/>
    <mergeCell ref="D13:F13"/>
    <mergeCell ref="D14:F14"/>
  </mergeCells>
  <conditionalFormatting sqref="D14:F14">
    <cfRule type="expression" dxfId="29" priority="1">
      <formula>D14="Complete"</formula>
    </cfRule>
    <cfRule type="expression" dxfId="28" priority="2">
      <formula>D14="Recheck"</formula>
    </cfRule>
    <cfRule type="expression" dxfId="27" priority="3">
      <formula>D14="In Progress"</formula>
    </cfRule>
  </conditionalFormatting>
  <dataValidations disablePrompts="1" count="2">
    <dataValidation type="list" sqref="B8" xr:uid="{00000000-0002-0000-0600-000000000000}">
      <formula1>"ON,OFF"</formula1>
    </dataValidation>
    <dataValidation type="list" sqref="D14:F14" xr:uid="{00000000-0002-0000-0600-000001000000}">
      <formula1>"Planned,In Progress,Complete,Recheck"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8"/>
  <sheetViews>
    <sheetView workbookViewId="0">
      <selection activeCell="B12" sqref="B12"/>
    </sheetView>
  </sheetViews>
  <sheetFormatPr baseColWidth="10" defaultColWidth="8.83203125" defaultRowHeight="15"/>
  <cols>
    <col min="1" max="1" width="22" customWidth="1"/>
    <col min="2" max="2" width="28" customWidth="1"/>
    <col min="3" max="3" width="4" customWidth="1"/>
    <col min="4" max="6" width="13" customWidth="1"/>
    <col min="7" max="7" width="4" customWidth="1"/>
    <col min="8" max="8" width="22" customWidth="1"/>
    <col min="9" max="9" width="14" customWidth="1"/>
    <col min="10" max="10" width="3" customWidth="1"/>
  </cols>
  <sheetData>
    <row r="1" spans="1:10" ht="34.75" customHeight="1">
      <c r="A1" s="26" t="s">
        <v>103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ht="16">
      <c r="A3" s="2" t="s">
        <v>56</v>
      </c>
      <c r="B3" s="3" t="s">
        <v>104</v>
      </c>
      <c r="D3" s="25" t="s">
        <v>58</v>
      </c>
      <c r="E3" s="25"/>
      <c r="F3" s="25"/>
      <c r="H3" s="4" t="s">
        <v>59</v>
      </c>
      <c r="I3" s="4" t="s">
        <v>60</v>
      </c>
    </row>
    <row r="4" spans="1:10" ht="16">
      <c r="A4" s="2" t="s">
        <v>61</v>
      </c>
      <c r="B4" s="3"/>
      <c r="D4" s="12">
        <v>34</v>
      </c>
      <c r="E4" s="12">
        <v>33.6</v>
      </c>
      <c r="F4" s="12">
        <v>30.5</v>
      </c>
      <c r="H4" s="6" t="s">
        <v>62</v>
      </c>
      <c r="I4" s="14">
        <f>IF(COUNT(D4:F6)=0,"",AVERAGE(D4:F6))</f>
        <v>33.74444444444444</v>
      </c>
    </row>
    <row r="5" spans="1:10" ht="16">
      <c r="A5" s="2" t="s">
        <v>63</v>
      </c>
      <c r="B5" s="3" t="s">
        <v>156</v>
      </c>
      <c r="D5" s="12">
        <v>35.4</v>
      </c>
      <c r="E5" s="12">
        <v>34.6</v>
      </c>
      <c r="F5" s="12">
        <v>31.2</v>
      </c>
      <c r="H5" s="6" t="s">
        <v>65</v>
      </c>
      <c r="I5" s="14">
        <f>IF(COUNT(D4:F6)=0,"",MIN(D4:F6))</f>
        <v>30.5</v>
      </c>
    </row>
    <row r="6" spans="1:10" ht="16">
      <c r="A6" s="2" t="s">
        <v>3</v>
      </c>
      <c r="B6" s="10">
        <v>60</v>
      </c>
      <c r="D6" s="12">
        <v>35</v>
      </c>
      <c r="E6" s="12">
        <v>35.1</v>
      </c>
      <c r="F6" s="12">
        <v>34.299999999999997</v>
      </c>
      <c r="H6" s="6" t="s">
        <v>66</v>
      </c>
      <c r="I6" s="14">
        <f>IF(COUNT(D4:F6)=0,"",MAX(D4:F6))</f>
        <v>35.4</v>
      </c>
    </row>
    <row r="7" spans="1:10" ht="16">
      <c r="A7" s="2" t="s">
        <v>5</v>
      </c>
      <c r="B7" s="10">
        <v>150</v>
      </c>
      <c r="H7" s="6" t="s">
        <v>67</v>
      </c>
      <c r="I7" s="14">
        <f>IF(COUNT(D4:F6)=0,"",MAX(D4:F6)-MIN(D4:F6))</f>
        <v>4.8999999999999986</v>
      </c>
    </row>
    <row r="8" spans="1:10" ht="16">
      <c r="A8" s="2" t="s">
        <v>68</v>
      </c>
      <c r="B8" s="3" t="s">
        <v>46</v>
      </c>
      <c r="D8" s="25">
        <v>313</v>
      </c>
      <c r="E8" s="25"/>
      <c r="F8" s="25"/>
      <c r="H8" s="6" t="s">
        <v>70</v>
      </c>
      <c r="I8" s="14" t="e">
        <f ca="1">IF(COUNT(D4:F6)&lt;2,"",_xludf.STDEV.S(D4:F6)/AVERAGE(D4:F6)*100)</f>
        <v>#NAME?</v>
      </c>
    </row>
    <row r="9" spans="1:10" ht="16">
      <c r="A9" s="2" t="s">
        <v>71</v>
      </c>
      <c r="B9" s="11"/>
      <c r="D9" s="13">
        <v>238</v>
      </c>
      <c r="E9" s="13">
        <v>285</v>
      </c>
      <c r="F9" s="13">
        <v>244</v>
      </c>
    </row>
    <row r="10" spans="1:10" ht="16">
      <c r="A10" s="2" t="s">
        <v>72</v>
      </c>
      <c r="B10" s="11">
        <v>0.53541666666666665</v>
      </c>
      <c r="D10" s="13">
        <v>301</v>
      </c>
      <c r="E10" s="13">
        <v>370</v>
      </c>
      <c r="F10" s="13">
        <v>313</v>
      </c>
      <c r="H10" s="4" t="s">
        <v>73</v>
      </c>
      <c r="I10" s="4" t="s">
        <v>60</v>
      </c>
    </row>
    <row r="11" spans="1:10" ht="16">
      <c r="A11" s="2" t="s">
        <v>74</v>
      </c>
      <c r="B11" s="3"/>
      <c r="D11" s="13">
        <v>270</v>
      </c>
      <c r="E11" s="13">
        <v>306</v>
      </c>
      <c r="F11" s="13">
        <v>300</v>
      </c>
      <c r="H11" s="6" t="s">
        <v>75</v>
      </c>
      <c r="I11" s="14">
        <f>IF(COUNT(D9:F11)=0,"",AVERAGE(D9:F11))</f>
        <v>291.88888888888891</v>
      </c>
    </row>
    <row r="12" spans="1:10" ht="32">
      <c r="A12" s="2" t="s">
        <v>76</v>
      </c>
      <c r="B12" s="3" t="s">
        <v>169</v>
      </c>
      <c r="H12" s="6" t="s">
        <v>77</v>
      </c>
      <c r="I12" s="14">
        <f>IF(COUNT(D9:F11)=0,"",MIN(D9:F11))</f>
        <v>238</v>
      </c>
    </row>
    <row r="13" spans="1:10" ht="16">
      <c r="A13" s="2" t="s">
        <v>78</v>
      </c>
      <c r="B13" s="3" t="str">
        <f>IF(B12="","",HYPERLINK(B12,"Open DC curve"))</f>
        <v>Open DC curve</v>
      </c>
      <c r="D13" s="27" t="s">
        <v>79</v>
      </c>
      <c r="E13" s="27"/>
      <c r="F13" s="27"/>
      <c r="H13" s="6" t="s">
        <v>80</v>
      </c>
      <c r="I13" s="14">
        <f>IF(COUNT(D9:F11)=0,"",MAX(D9:F11))</f>
        <v>370</v>
      </c>
    </row>
    <row r="14" spans="1:10" ht="16">
      <c r="A14" s="2" t="s">
        <v>26</v>
      </c>
      <c r="B14" s="3"/>
      <c r="D14" s="28" t="s">
        <v>47</v>
      </c>
      <c r="E14" s="28"/>
      <c r="F14" s="28"/>
      <c r="H14" s="6" t="s">
        <v>81</v>
      </c>
      <c r="I14" s="14">
        <f>IF(COUNT(D9:F11)=0,"",MAX(D9:F11)-MIN(D9:F11))</f>
        <v>132</v>
      </c>
    </row>
    <row r="15" spans="1:10">
      <c r="H15" s="6" t="s">
        <v>70</v>
      </c>
      <c r="I15" s="14" t="e">
        <f ca="1">IF(COUNT(D9:F11)&lt;2,"",_xludf.STDEV.S(D9:F11)/AVERAGE(D9:F11)*100)</f>
        <v>#NAME?</v>
      </c>
    </row>
    <row r="17" spans="1:9">
      <c r="A17" s="4" t="s">
        <v>82</v>
      </c>
      <c r="B17" s="4"/>
      <c r="H17" s="4" t="s">
        <v>83</v>
      </c>
      <c r="I17" s="4" t="s">
        <v>60</v>
      </c>
    </row>
    <row r="18" spans="1:9">
      <c r="A18" s="16" t="s">
        <v>84</v>
      </c>
      <c r="B18" s="16" t="s">
        <v>85</v>
      </c>
      <c r="H18" s="6" t="s">
        <v>86</v>
      </c>
      <c r="I18" s="15"/>
    </row>
    <row r="19" spans="1:9">
      <c r="A19" s="17">
        <v>0</v>
      </c>
      <c r="B19" s="18"/>
      <c r="H19" s="6" t="s">
        <v>87</v>
      </c>
      <c r="I19" s="15"/>
    </row>
    <row r="20" spans="1:9">
      <c r="A20" s="17">
        <v>1</v>
      </c>
      <c r="B20" s="18"/>
      <c r="H20" s="6" t="s">
        <v>88</v>
      </c>
      <c r="I20" s="15"/>
    </row>
    <row r="21" spans="1:9">
      <c r="A21" s="17">
        <v>2</v>
      </c>
      <c r="B21" s="18"/>
      <c r="H21" s="6" t="s">
        <v>89</v>
      </c>
      <c r="I21" s="15"/>
    </row>
    <row r="22" spans="1:9">
      <c r="A22" s="17">
        <v>3</v>
      </c>
      <c r="B22" s="18"/>
      <c r="H22" s="6" t="s">
        <v>90</v>
      </c>
      <c r="I22" s="15"/>
    </row>
    <row r="23" spans="1:9">
      <c r="A23" s="17">
        <v>4</v>
      </c>
      <c r="B23" s="18"/>
    </row>
    <row r="24" spans="1:9">
      <c r="A24" s="17">
        <v>5</v>
      </c>
      <c r="B24" s="18"/>
    </row>
    <row r="25" spans="1:9">
      <c r="A25" s="17">
        <v>6</v>
      </c>
      <c r="B25" s="18"/>
    </row>
    <row r="26" spans="1:9">
      <c r="A26" s="17">
        <v>7</v>
      </c>
      <c r="B26" s="18"/>
    </row>
    <row r="27" spans="1:9">
      <c r="A27" s="17">
        <v>8</v>
      </c>
      <c r="B27" s="18"/>
    </row>
    <row r="28" spans="1:9">
      <c r="A28" s="17">
        <v>9</v>
      </c>
      <c r="B28" s="18"/>
    </row>
  </sheetData>
  <mergeCells count="5">
    <mergeCell ref="A1:J1"/>
    <mergeCell ref="D3:F3"/>
    <mergeCell ref="D8:F8"/>
    <mergeCell ref="D13:F13"/>
    <mergeCell ref="D14:F14"/>
  </mergeCells>
  <conditionalFormatting sqref="D14:F14">
    <cfRule type="expression" dxfId="26" priority="1">
      <formula>D14="Complete"</formula>
    </cfRule>
    <cfRule type="expression" dxfId="25" priority="2">
      <formula>D14="Recheck"</formula>
    </cfRule>
    <cfRule type="expression" dxfId="24" priority="3">
      <formula>D14="In Progress"</formula>
    </cfRule>
  </conditionalFormatting>
  <dataValidations count="2">
    <dataValidation type="list" sqref="B8" xr:uid="{00000000-0002-0000-0700-000000000000}">
      <formula1>"ON,OFF"</formula1>
    </dataValidation>
    <dataValidation type="list" sqref="D14:F14" xr:uid="{00000000-0002-0000-0700-000001000000}">
      <formula1>"Planned,In Progress,Complete,Recheck"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workbookViewId="0">
      <selection activeCell="B12" sqref="B12"/>
    </sheetView>
  </sheetViews>
  <sheetFormatPr baseColWidth="10" defaultColWidth="8.83203125" defaultRowHeight="15"/>
  <cols>
    <col min="1" max="1" width="22" customWidth="1"/>
    <col min="2" max="2" width="28" customWidth="1"/>
    <col min="3" max="3" width="4" customWidth="1"/>
    <col min="4" max="6" width="13" customWidth="1"/>
    <col min="7" max="7" width="4" customWidth="1"/>
    <col min="8" max="8" width="22" customWidth="1"/>
    <col min="9" max="9" width="14" customWidth="1"/>
    <col min="10" max="10" width="3" customWidth="1"/>
  </cols>
  <sheetData>
    <row r="1" spans="1:10" ht="34.75" customHeight="1">
      <c r="A1" s="26" t="s">
        <v>106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ht="16">
      <c r="A3" s="2" t="s">
        <v>56</v>
      </c>
      <c r="B3" s="3" t="s">
        <v>107</v>
      </c>
      <c r="D3" s="25" t="s">
        <v>58</v>
      </c>
      <c r="E3" s="25"/>
      <c r="F3" s="25"/>
      <c r="H3" s="4" t="s">
        <v>59</v>
      </c>
      <c r="I3" s="4" t="s">
        <v>60</v>
      </c>
    </row>
    <row r="4" spans="1:10" ht="16">
      <c r="A4" s="2" t="s">
        <v>61</v>
      </c>
      <c r="B4" s="3"/>
      <c r="D4" s="12">
        <v>40.200000000000003</v>
      </c>
      <c r="E4" s="12">
        <v>42</v>
      </c>
      <c r="F4" s="12">
        <v>39</v>
      </c>
      <c r="H4" s="6" t="s">
        <v>62</v>
      </c>
      <c r="I4" s="14">
        <f>IF(COUNT(D4:F6)=0,"",AVERAGE(D4:F6))</f>
        <v>41.866666666666667</v>
      </c>
    </row>
    <row r="5" spans="1:10" ht="16">
      <c r="A5" s="2" t="s">
        <v>63</v>
      </c>
      <c r="B5" s="3" t="s">
        <v>166</v>
      </c>
      <c r="D5" s="12">
        <v>43.5</v>
      </c>
      <c r="E5" s="12">
        <v>44.8</v>
      </c>
      <c r="F5" s="12">
        <v>41.9</v>
      </c>
      <c r="H5" s="6" t="s">
        <v>65</v>
      </c>
      <c r="I5" s="14">
        <f>IF(COUNT(D4:F6)=0,"",MIN(D4:F6))</f>
        <v>39</v>
      </c>
    </row>
    <row r="6" spans="1:10" ht="16">
      <c r="A6" s="2" t="s">
        <v>3</v>
      </c>
      <c r="B6" s="10">
        <v>60</v>
      </c>
      <c r="D6" s="12">
        <v>41.6</v>
      </c>
      <c r="E6" s="12">
        <v>42.5</v>
      </c>
      <c r="F6" s="12">
        <v>41.3</v>
      </c>
      <c r="H6" s="6" t="s">
        <v>66</v>
      </c>
      <c r="I6" s="14">
        <f>IF(COUNT(D4:F6)=0,"",MAX(D4:F6))</f>
        <v>44.8</v>
      </c>
    </row>
    <row r="7" spans="1:10" ht="16">
      <c r="A7" s="2" t="s">
        <v>5</v>
      </c>
      <c r="B7" s="10">
        <v>150</v>
      </c>
      <c r="H7" s="6" t="s">
        <v>67</v>
      </c>
      <c r="I7" s="14">
        <f>IF(COUNT(D4:F6)=0,"",MAX(D4:F6)-MIN(D4:F6))</f>
        <v>5.7999999999999972</v>
      </c>
    </row>
    <row r="8" spans="1:10" ht="16">
      <c r="A8" s="2" t="s">
        <v>68</v>
      </c>
      <c r="B8" s="3" t="s">
        <v>49</v>
      </c>
      <c r="D8" s="25" t="s">
        <v>69</v>
      </c>
      <c r="E8" s="25"/>
      <c r="F8" s="25"/>
      <c r="H8" s="6" t="s">
        <v>70</v>
      </c>
      <c r="I8" s="14" t="e">
        <f ca="1">IF(COUNT(D4:F6)&lt;2,"",_xludf.STDEV.S(D4:F6)/AVERAGE(D4:F6)*100)</f>
        <v>#NAME?</v>
      </c>
    </row>
    <row r="9" spans="1:10" ht="16">
      <c r="A9" s="2" t="s">
        <v>71</v>
      </c>
      <c r="B9" s="11"/>
      <c r="D9" s="13">
        <v>230</v>
      </c>
      <c r="E9" s="13">
        <v>291</v>
      </c>
      <c r="F9" s="13">
        <v>253</v>
      </c>
    </row>
    <row r="10" spans="1:10" ht="16">
      <c r="A10" s="2" t="s">
        <v>72</v>
      </c>
      <c r="B10" s="11">
        <v>0.54652777777777772</v>
      </c>
      <c r="D10" s="13">
        <v>316</v>
      </c>
      <c r="E10" s="13">
        <v>370</v>
      </c>
      <c r="F10" s="13">
        <v>330</v>
      </c>
      <c r="H10" s="4" t="s">
        <v>73</v>
      </c>
      <c r="I10" s="4" t="s">
        <v>60</v>
      </c>
    </row>
    <row r="11" spans="1:10" ht="16">
      <c r="A11" s="2" t="s">
        <v>74</v>
      </c>
      <c r="B11" s="3"/>
      <c r="D11" s="13">
        <v>275</v>
      </c>
      <c r="E11" s="13">
        <v>320</v>
      </c>
      <c r="F11" s="13">
        <v>300</v>
      </c>
      <c r="H11" s="6" t="s">
        <v>75</v>
      </c>
      <c r="I11" s="14">
        <f>IF(COUNT(D9:F11)=0,"",AVERAGE(D9:F11))</f>
        <v>298.33333333333331</v>
      </c>
    </row>
    <row r="12" spans="1:10" ht="32">
      <c r="A12" s="2" t="s">
        <v>76</v>
      </c>
      <c r="B12" s="3" t="s">
        <v>170</v>
      </c>
      <c r="H12" s="6" t="s">
        <v>77</v>
      </c>
      <c r="I12" s="14">
        <f>IF(COUNT(D9:F11)=0,"",MIN(D9:F11))</f>
        <v>230</v>
      </c>
    </row>
    <row r="13" spans="1:10" ht="16">
      <c r="A13" s="2" t="s">
        <v>78</v>
      </c>
      <c r="B13" s="3" t="str">
        <f>IF(B12="","",HYPERLINK(B12,"Open DC curve"))</f>
        <v>Open DC curve</v>
      </c>
      <c r="D13" s="27" t="s">
        <v>79</v>
      </c>
      <c r="E13" s="27"/>
      <c r="F13" s="27"/>
      <c r="H13" s="6" t="s">
        <v>80</v>
      </c>
      <c r="I13" s="14">
        <f>IF(COUNT(D9:F11)=0,"",MAX(D9:F11))</f>
        <v>370</v>
      </c>
    </row>
    <row r="14" spans="1:10" ht="16">
      <c r="A14" s="2" t="s">
        <v>26</v>
      </c>
      <c r="B14" s="3"/>
      <c r="D14" s="28" t="s">
        <v>47</v>
      </c>
      <c r="E14" s="28"/>
      <c r="F14" s="28"/>
      <c r="H14" s="6" t="s">
        <v>81</v>
      </c>
      <c r="I14" s="14">
        <f>IF(COUNT(D9:F11)=0,"",MAX(D9:F11)-MIN(D9:F11))</f>
        <v>140</v>
      </c>
    </row>
    <row r="15" spans="1:10">
      <c r="H15" s="6" t="s">
        <v>70</v>
      </c>
      <c r="I15" s="14" t="e">
        <f ca="1">IF(COUNT(D9:F11)&lt;2,"",_xludf.STDEV.S(D9:F11)/AVERAGE(D9:F11)*100)</f>
        <v>#NAME?</v>
      </c>
    </row>
    <row r="17" spans="1:9">
      <c r="A17" s="4" t="s">
        <v>82</v>
      </c>
      <c r="B17" s="4"/>
      <c r="H17" s="4" t="s">
        <v>83</v>
      </c>
      <c r="I17" s="4" t="s">
        <v>60</v>
      </c>
    </row>
    <row r="18" spans="1:9">
      <c r="A18" s="16" t="s">
        <v>84</v>
      </c>
      <c r="B18" s="16" t="s">
        <v>85</v>
      </c>
      <c r="H18" s="6" t="s">
        <v>86</v>
      </c>
      <c r="I18" s="15"/>
    </row>
    <row r="19" spans="1:9">
      <c r="A19" s="17">
        <v>0</v>
      </c>
      <c r="B19" s="18"/>
      <c r="H19" s="6" t="s">
        <v>87</v>
      </c>
      <c r="I19" s="15"/>
    </row>
    <row r="20" spans="1:9">
      <c r="A20" s="17">
        <v>1</v>
      </c>
      <c r="B20" s="18"/>
      <c r="H20" s="6" t="s">
        <v>88</v>
      </c>
      <c r="I20" s="15"/>
    </row>
    <row r="21" spans="1:9">
      <c r="A21" s="17">
        <v>2</v>
      </c>
      <c r="B21" s="18"/>
      <c r="H21" s="6" t="s">
        <v>89</v>
      </c>
      <c r="I21" s="15"/>
    </row>
    <row r="22" spans="1:9">
      <c r="A22" s="17">
        <v>3</v>
      </c>
      <c r="B22" s="18"/>
      <c r="H22" s="6" t="s">
        <v>90</v>
      </c>
      <c r="I22" s="15"/>
    </row>
    <row r="23" spans="1:9">
      <c r="A23" s="17">
        <v>4</v>
      </c>
      <c r="B23" s="18"/>
    </row>
    <row r="24" spans="1:9">
      <c r="A24" s="17">
        <v>5</v>
      </c>
      <c r="B24" s="18"/>
    </row>
    <row r="25" spans="1:9">
      <c r="A25" s="17">
        <v>6</v>
      </c>
      <c r="B25" s="18"/>
    </row>
    <row r="26" spans="1:9">
      <c r="A26" s="17">
        <v>7</v>
      </c>
      <c r="B26" s="18"/>
    </row>
    <row r="27" spans="1:9">
      <c r="A27" s="17">
        <v>8</v>
      </c>
      <c r="B27" s="18"/>
    </row>
    <row r="28" spans="1:9">
      <c r="A28" s="17">
        <v>9</v>
      </c>
      <c r="B28" s="18"/>
    </row>
  </sheetData>
  <mergeCells count="5">
    <mergeCell ref="A1:J1"/>
    <mergeCell ref="D3:F3"/>
    <mergeCell ref="D8:F8"/>
    <mergeCell ref="D13:F13"/>
    <mergeCell ref="D14:F14"/>
  </mergeCells>
  <conditionalFormatting sqref="D14:F14">
    <cfRule type="expression" dxfId="23" priority="1">
      <formula>D14="Complete"</formula>
    </cfRule>
    <cfRule type="expression" dxfId="22" priority="2">
      <formula>D14="Recheck"</formula>
    </cfRule>
    <cfRule type="expression" dxfId="21" priority="3">
      <formula>D14="In Progress"</formula>
    </cfRule>
  </conditionalFormatting>
  <dataValidations count="2">
    <dataValidation type="list" sqref="B8" xr:uid="{00000000-0002-0000-0800-000000000000}">
      <formula1>"ON,OFF"</formula1>
    </dataValidation>
    <dataValidation type="list" sqref="D14:F14" xr:uid="{00000000-0002-0000-0800-000001000000}">
      <formula1>"Planned,In Progress,Complete,Recheck"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8"/>
  <sheetViews>
    <sheetView workbookViewId="0">
      <selection activeCell="B12" sqref="B12"/>
    </sheetView>
  </sheetViews>
  <sheetFormatPr baseColWidth="10" defaultColWidth="8.83203125" defaultRowHeight="15"/>
  <cols>
    <col min="1" max="1" width="22" customWidth="1"/>
    <col min="2" max="2" width="28" customWidth="1"/>
    <col min="3" max="3" width="4" customWidth="1"/>
    <col min="4" max="6" width="13" customWidth="1"/>
    <col min="7" max="7" width="4" customWidth="1"/>
    <col min="8" max="8" width="22" customWidth="1"/>
    <col min="9" max="9" width="14" customWidth="1"/>
    <col min="10" max="10" width="3" customWidth="1"/>
  </cols>
  <sheetData>
    <row r="1" spans="1:10" ht="34.75" customHeight="1">
      <c r="A1" s="26" t="s">
        <v>109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ht="16">
      <c r="A3" s="2" t="s">
        <v>56</v>
      </c>
      <c r="B3" s="3" t="s">
        <v>110</v>
      </c>
      <c r="D3" s="25" t="s">
        <v>58</v>
      </c>
      <c r="E3" s="25"/>
      <c r="F3" s="25"/>
      <c r="H3" s="4" t="s">
        <v>59</v>
      </c>
      <c r="I3" s="4" t="s">
        <v>60</v>
      </c>
    </row>
    <row r="4" spans="1:10" ht="16">
      <c r="A4" s="2" t="s">
        <v>61</v>
      </c>
      <c r="B4" s="3"/>
      <c r="D4" s="12">
        <v>36</v>
      </c>
      <c r="E4" s="12">
        <v>33.799999999999997</v>
      </c>
      <c r="F4" s="12">
        <v>31.5</v>
      </c>
      <c r="H4" s="6" t="s">
        <v>62</v>
      </c>
      <c r="I4" s="14">
        <f>IF(COUNT(D4:F6)=0,"",AVERAGE(D4:F6))</f>
        <v>35.044444444444451</v>
      </c>
    </row>
    <row r="5" spans="1:10" ht="16">
      <c r="A5" s="2" t="s">
        <v>63</v>
      </c>
      <c r="B5" s="3" t="s">
        <v>167</v>
      </c>
      <c r="D5" s="12">
        <v>36</v>
      </c>
      <c r="E5" s="12">
        <v>34.9</v>
      </c>
      <c r="F5" s="12">
        <v>32.4</v>
      </c>
      <c r="H5" s="6" t="s">
        <v>65</v>
      </c>
      <c r="I5" s="14">
        <f>IF(COUNT(D4:F6)=0,"",MIN(D4:F6))</f>
        <v>31.5</v>
      </c>
    </row>
    <row r="6" spans="1:10" ht="16">
      <c r="A6" s="2" t="s">
        <v>3</v>
      </c>
      <c r="B6" s="10">
        <v>90</v>
      </c>
      <c r="D6" s="12">
        <v>36.6</v>
      </c>
      <c r="E6" s="12">
        <v>37.5</v>
      </c>
      <c r="F6" s="12">
        <v>36.700000000000003</v>
      </c>
      <c r="H6" s="6" t="s">
        <v>66</v>
      </c>
      <c r="I6" s="14">
        <f>IF(COUNT(D4:F6)=0,"",MAX(D4:F6))</f>
        <v>37.5</v>
      </c>
    </row>
    <row r="7" spans="1:10" ht="16">
      <c r="A7" s="2" t="s">
        <v>5</v>
      </c>
      <c r="B7" s="10">
        <v>200</v>
      </c>
      <c r="H7" s="6" t="s">
        <v>67</v>
      </c>
      <c r="I7" s="14">
        <f>IF(COUNT(D4:F6)=0,"",MAX(D4:F6)-MIN(D4:F6))</f>
        <v>6</v>
      </c>
    </row>
    <row r="8" spans="1:10" ht="16">
      <c r="A8" s="2" t="s">
        <v>68</v>
      </c>
      <c r="B8" s="3" t="s">
        <v>46</v>
      </c>
      <c r="D8" s="25" t="s">
        <v>69</v>
      </c>
      <c r="E8" s="25"/>
      <c r="F8" s="25"/>
      <c r="H8" s="6" t="s">
        <v>70</v>
      </c>
      <c r="I8" s="14" t="e">
        <f ca="1">IF(COUNT(D4:F6)&lt;2,"",_xludf.STDEV.S(D4:F6)/AVERAGE(D4:F6)*100)</f>
        <v>#NAME?</v>
      </c>
    </row>
    <row r="9" spans="1:10" ht="16">
      <c r="A9" s="2" t="s">
        <v>71</v>
      </c>
      <c r="B9" s="11"/>
      <c r="D9" s="13">
        <v>309</v>
      </c>
      <c r="E9" s="13">
        <v>320</v>
      </c>
      <c r="F9" s="13">
        <v>282</v>
      </c>
    </row>
    <row r="10" spans="1:10" ht="16">
      <c r="A10" s="2" t="s">
        <v>72</v>
      </c>
      <c r="B10" s="11">
        <v>0.55763888888888891</v>
      </c>
      <c r="D10" s="13">
        <v>352</v>
      </c>
      <c r="E10" s="13">
        <v>365</v>
      </c>
      <c r="F10" s="13">
        <v>333</v>
      </c>
      <c r="H10" s="4" t="s">
        <v>73</v>
      </c>
      <c r="I10" s="4" t="s">
        <v>60</v>
      </c>
    </row>
    <row r="11" spans="1:10" ht="16">
      <c r="A11" s="2" t="s">
        <v>74</v>
      </c>
      <c r="B11" s="3"/>
      <c r="D11" s="13">
        <v>313</v>
      </c>
      <c r="E11" s="13">
        <v>334</v>
      </c>
      <c r="F11" s="13">
        <v>320</v>
      </c>
      <c r="H11" s="6" t="s">
        <v>75</v>
      </c>
      <c r="I11" s="14">
        <f>IF(COUNT(D9:F11)=0,"",AVERAGE(D9:F11))</f>
        <v>325.33333333333331</v>
      </c>
    </row>
    <row r="12" spans="1:10" ht="32">
      <c r="A12" s="2" t="s">
        <v>76</v>
      </c>
      <c r="B12" s="3" t="s">
        <v>171</v>
      </c>
      <c r="H12" s="6" t="s">
        <v>77</v>
      </c>
      <c r="I12" s="14">
        <f>IF(COUNT(D9:F11)=0,"",MIN(D9:F11))</f>
        <v>282</v>
      </c>
    </row>
    <row r="13" spans="1:10" ht="16">
      <c r="A13" s="2" t="s">
        <v>78</v>
      </c>
      <c r="B13" s="3" t="str">
        <f>IF(B12="","",HYPERLINK(B12,"Open DC curve"))</f>
        <v>Open DC curve</v>
      </c>
      <c r="D13" s="27" t="s">
        <v>79</v>
      </c>
      <c r="E13" s="27"/>
      <c r="F13" s="27"/>
      <c r="H13" s="6" t="s">
        <v>80</v>
      </c>
      <c r="I13" s="14">
        <f>IF(COUNT(D9:F11)=0,"",MAX(D9:F11))</f>
        <v>365</v>
      </c>
    </row>
    <row r="14" spans="1:10" ht="16">
      <c r="A14" s="2" t="s">
        <v>26</v>
      </c>
      <c r="B14" s="3"/>
      <c r="D14" s="28" t="s">
        <v>47</v>
      </c>
      <c r="E14" s="28"/>
      <c r="F14" s="28"/>
      <c r="H14" s="6" t="s">
        <v>81</v>
      </c>
      <c r="I14" s="14">
        <f>IF(COUNT(D9:F11)=0,"",MAX(D9:F11)-MIN(D9:F11))</f>
        <v>83</v>
      </c>
    </row>
    <row r="15" spans="1:10">
      <c r="H15" s="6" t="s">
        <v>70</v>
      </c>
      <c r="I15" s="14" t="e">
        <f ca="1">IF(COUNT(D9:F11)&lt;2,"",_xludf.STDEV.S(D9:F11)/AVERAGE(D9:F11)*100)</f>
        <v>#NAME?</v>
      </c>
    </row>
    <row r="17" spans="1:9">
      <c r="A17" s="4" t="s">
        <v>82</v>
      </c>
      <c r="B17" s="4"/>
      <c r="H17" s="4" t="s">
        <v>83</v>
      </c>
      <c r="I17" s="4" t="s">
        <v>60</v>
      </c>
    </row>
    <row r="18" spans="1:9">
      <c r="A18" s="16" t="s">
        <v>84</v>
      </c>
      <c r="B18" s="16" t="s">
        <v>85</v>
      </c>
      <c r="H18" s="6" t="s">
        <v>86</v>
      </c>
      <c r="I18" s="15"/>
    </row>
    <row r="19" spans="1:9">
      <c r="A19" s="17">
        <v>0</v>
      </c>
      <c r="B19" s="18"/>
      <c r="H19" s="6" t="s">
        <v>87</v>
      </c>
      <c r="I19" s="15"/>
    </row>
    <row r="20" spans="1:9">
      <c r="A20" s="17">
        <v>1</v>
      </c>
      <c r="B20" s="18"/>
      <c r="H20" s="6" t="s">
        <v>88</v>
      </c>
      <c r="I20" s="15"/>
    </row>
    <row r="21" spans="1:9">
      <c r="A21" s="17">
        <v>2</v>
      </c>
      <c r="B21" s="18"/>
      <c r="H21" s="6" t="s">
        <v>89</v>
      </c>
      <c r="I21" s="15"/>
    </row>
    <row r="22" spans="1:9">
      <c r="A22" s="17">
        <v>3</v>
      </c>
      <c r="B22" s="18"/>
      <c r="H22" s="6" t="s">
        <v>90</v>
      </c>
      <c r="I22" s="15"/>
    </row>
    <row r="23" spans="1:9">
      <c r="A23" s="17">
        <v>4</v>
      </c>
      <c r="B23" s="18"/>
    </row>
    <row r="24" spans="1:9">
      <c r="A24" s="17">
        <v>5</v>
      </c>
      <c r="B24" s="18"/>
    </row>
    <row r="25" spans="1:9">
      <c r="A25" s="17">
        <v>6</v>
      </c>
      <c r="B25" s="18"/>
    </row>
    <row r="26" spans="1:9">
      <c r="A26" s="17">
        <v>7</v>
      </c>
      <c r="B26" s="18"/>
    </row>
    <row r="27" spans="1:9">
      <c r="A27" s="17">
        <v>8</v>
      </c>
      <c r="B27" s="18"/>
    </row>
    <row r="28" spans="1:9">
      <c r="A28" s="17">
        <v>9</v>
      </c>
      <c r="B28" s="18"/>
    </row>
  </sheetData>
  <mergeCells count="5">
    <mergeCell ref="A1:J1"/>
    <mergeCell ref="D3:F3"/>
    <mergeCell ref="D8:F8"/>
    <mergeCell ref="D13:F13"/>
    <mergeCell ref="D14:F14"/>
  </mergeCells>
  <conditionalFormatting sqref="D14:F14">
    <cfRule type="expression" dxfId="20" priority="1">
      <formula>D14="Complete"</formula>
    </cfRule>
    <cfRule type="expression" dxfId="19" priority="2">
      <formula>D14="Recheck"</formula>
    </cfRule>
    <cfRule type="expression" dxfId="18" priority="3">
      <formula>D14="In Progress"</formula>
    </cfRule>
  </conditionalFormatting>
  <dataValidations count="2">
    <dataValidation type="list" sqref="B8" xr:uid="{00000000-0002-0000-0900-000000000000}">
      <formula1>"ON,OFF"</formula1>
    </dataValidation>
    <dataValidation type="list" sqref="D14:F14" xr:uid="{00000000-0002-0000-0900-000001000000}">
      <formula1>"Planned,In Progress,Complete,Recheck"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8"/>
  <sheetViews>
    <sheetView tabSelected="1" workbookViewId="0">
      <selection activeCell="F22" sqref="F22"/>
    </sheetView>
  </sheetViews>
  <sheetFormatPr baseColWidth="10" defaultColWidth="8.83203125" defaultRowHeight="15"/>
  <cols>
    <col min="1" max="1" width="22" customWidth="1"/>
    <col min="2" max="2" width="28" customWidth="1"/>
    <col min="3" max="3" width="4" customWidth="1"/>
    <col min="4" max="6" width="13" customWidth="1"/>
    <col min="7" max="7" width="4" customWidth="1"/>
    <col min="8" max="8" width="22" customWidth="1"/>
    <col min="9" max="9" width="14" customWidth="1"/>
    <col min="10" max="10" width="3" customWidth="1"/>
  </cols>
  <sheetData>
    <row r="1" spans="1:10" ht="34.75" customHeight="1">
      <c r="A1" s="26" t="s">
        <v>112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ht="16">
      <c r="A3" s="2" t="s">
        <v>56</v>
      </c>
      <c r="B3" s="3" t="s">
        <v>113</v>
      </c>
      <c r="D3" s="25" t="s">
        <v>58</v>
      </c>
      <c r="E3" s="25"/>
      <c r="F3" s="25"/>
      <c r="H3" s="4" t="s">
        <v>59</v>
      </c>
      <c r="I3" s="4" t="s">
        <v>60</v>
      </c>
    </row>
    <row r="4" spans="1:10" ht="16">
      <c r="A4" s="2" t="s">
        <v>61</v>
      </c>
      <c r="B4" s="3"/>
      <c r="D4" s="12">
        <v>36.5</v>
      </c>
      <c r="E4" s="12">
        <v>36.5</v>
      </c>
      <c r="F4" s="12">
        <v>32.4</v>
      </c>
      <c r="H4" s="6" t="s">
        <v>62</v>
      </c>
      <c r="I4" s="14">
        <f>IF(COUNT(D4:F6)=0,"",AVERAGE(D4:F6))</f>
        <v>39.455555555555549</v>
      </c>
    </row>
    <row r="5" spans="1:10" ht="16">
      <c r="A5" s="2" t="s">
        <v>63</v>
      </c>
      <c r="B5" s="3" t="s">
        <v>168</v>
      </c>
      <c r="D5" s="12">
        <v>41</v>
      </c>
      <c r="E5" s="12">
        <v>40.4</v>
      </c>
      <c r="F5" s="12">
        <v>35.1</v>
      </c>
      <c r="H5" s="6" t="s">
        <v>65</v>
      </c>
      <c r="I5" s="14">
        <f>IF(COUNT(D4:F6)=0,"",MIN(D4:F6))</f>
        <v>32.4</v>
      </c>
    </row>
    <row r="6" spans="1:10" ht="16">
      <c r="A6" s="2" t="s">
        <v>3</v>
      </c>
      <c r="B6" s="10">
        <v>30</v>
      </c>
      <c r="D6" s="12">
        <v>44</v>
      </c>
      <c r="E6" s="12">
        <v>46</v>
      </c>
      <c r="F6" s="12">
        <v>43.2</v>
      </c>
      <c r="H6" s="6" t="s">
        <v>66</v>
      </c>
      <c r="I6" s="14">
        <f>IF(COUNT(D4:F6)=0,"",MAX(D4:F6))</f>
        <v>46</v>
      </c>
    </row>
    <row r="7" spans="1:10" ht="16">
      <c r="A7" s="2" t="s">
        <v>5</v>
      </c>
      <c r="B7" s="10">
        <v>120</v>
      </c>
      <c r="H7" s="6" t="s">
        <v>67</v>
      </c>
      <c r="I7" s="14">
        <f>IF(COUNT(D4:F6)=0,"",MAX(D4:F6)-MIN(D4:F6))</f>
        <v>13.600000000000001</v>
      </c>
    </row>
    <row r="8" spans="1:10" ht="16">
      <c r="A8" s="2" t="s">
        <v>68</v>
      </c>
      <c r="B8" s="3" t="s">
        <v>46</v>
      </c>
      <c r="D8" s="25" t="s">
        <v>69</v>
      </c>
      <c r="E8" s="25"/>
      <c r="F8" s="25"/>
      <c r="H8" s="6" t="s">
        <v>70</v>
      </c>
      <c r="I8" s="14" t="e">
        <f ca="1">IF(COUNT(D4:F6)&lt;2,"",_xludf.STDEV.S(D4:F6)/AVERAGE(D4:F6)*100)</f>
        <v>#NAME?</v>
      </c>
    </row>
    <row r="9" spans="1:10" ht="16">
      <c r="A9" s="2" t="s">
        <v>71</v>
      </c>
      <c r="B9" s="11"/>
      <c r="D9" s="13">
        <v>340</v>
      </c>
      <c r="E9" s="13">
        <v>410</v>
      </c>
      <c r="F9" s="13">
        <v>339</v>
      </c>
    </row>
    <row r="10" spans="1:10" ht="16">
      <c r="A10" s="2" t="s">
        <v>72</v>
      </c>
      <c r="B10" s="11">
        <v>0.56666666666666665</v>
      </c>
      <c r="D10" s="13">
        <v>482</v>
      </c>
      <c r="E10" s="13">
        <v>660</v>
      </c>
      <c r="F10" s="13">
        <v>430</v>
      </c>
      <c r="H10" s="4" t="s">
        <v>73</v>
      </c>
      <c r="I10" s="4" t="s">
        <v>60</v>
      </c>
    </row>
    <row r="11" spans="1:10" ht="16">
      <c r="A11" s="2" t="s">
        <v>74</v>
      </c>
      <c r="B11" s="3"/>
      <c r="D11" s="13">
        <v>437</v>
      </c>
      <c r="E11" s="13">
        <v>892</v>
      </c>
      <c r="F11" s="13">
        <v>662</v>
      </c>
      <c r="H11" s="6" t="s">
        <v>75</v>
      </c>
      <c r="I11" s="14">
        <f>IF(COUNT(D9:F11)=0,"",AVERAGE(D9:F11))</f>
        <v>516.88888888888891</v>
      </c>
    </row>
    <row r="12" spans="1:10" ht="32">
      <c r="A12" s="2" t="s">
        <v>76</v>
      </c>
      <c r="B12" s="3" t="s">
        <v>172</v>
      </c>
      <c r="H12" s="6" t="s">
        <v>77</v>
      </c>
      <c r="I12" s="14">
        <f>IF(COUNT(D9:F11)=0,"",MIN(D9:F11))</f>
        <v>339</v>
      </c>
    </row>
    <row r="13" spans="1:10" ht="16">
      <c r="A13" s="2" t="s">
        <v>78</v>
      </c>
      <c r="B13" s="3" t="str">
        <f>IF(B12="","",HYPERLINK(B12,"Open DC curve"))</f>
        <v>Open DC curve</v>
      </c>
      <c r="D13" s="27" t="s">
        <v>79</v>
      </c>
      <c r="E13" s="27"/>
      <c r="F13" s="27"/>
      <c r="H13" s="6" t="s">
        <v>80</v>
      </c>
      <c r="I13" s="14">
        <f>IF(COUNT(D9:F11)=0,"",MAX(D9:F11))</f>
        <v>892</v>
      </c>
    </row>
    <row r="14" spans="1:10" ht="16">
      <c r="A14" s="2" t="s">
        <v>26</v>
      </c>
      <c r="B14" s="3"/>
      <c r="D14" s="28" t="s">
        <v>47</v>
      </c>
      <c r="E14" s="28"/>
      <c r="F14" s="28"/>
      <c r="H14" s="6" t="s">
        <v>81</v>
      </c>
      <c r="I14" s="14">
        <f>IF(COUNT(D9:F11)=0,"",MAX(D9:F11)-MIN(D9:F11))</f>
        <v>553</v>
      </c>
    </row>
    <row r="15" spans="1:10">
      <c r="H15" s="6" t="s">
        <v>70</v>
      </c>
      <c r="I15" s="14" t="e">
        <f ca="1">IF(COUNT(D9:F11)&lt;2,"",_xludf.STDEV.S(D9:F11)/AVERAGE(D9:F11)*100)</f>
        <v>#NAME?</v>
      </c>
    </row>
    <row r="17" spans="1:9">
      <c r="A17" s="4" t="s">
        <v>82</v>
      </c>
      <c r="B17" s="4"/>
      <c r="H17" s="4" t="s">
        <v>83</v>
      </c>
      <c r="I17" s="4" t="s">
        <v>60</v>
      </c>
    </row>
    <row r="18" spans="1:9">
      <c r="A18" s="16" t="s">
        <v>84</v>
      </c>
      <c r="B18" s="16" t="s">
        <v>85</v>
      </c>
      <c r="H18" s="6" t="s">
        <v>86</v>
      </c>
      <c r="I18" s="15"/>
    </row>
    <row r="19" spans="1:9">
      <c r="A19" s="17">
        <v>0</v>
      </c>
      <c r="B19" s="18"/>
      <c r="H19" s="6" t="s">
        <v>87</v>
      </c>
      <c r="I19" s="15"/>
    </row>
    <row r="20" spans="1:9">
      <c r="A20" s="17">
        <v>1</v>
      </c>
      <c r="B20" s="18"/>
      <c r="H20" s="6" t="s">
        <v>88</v>
      </c>
      <c r="I20" s="15"/>
    </row>
    <row r="21" spans="1:9">
      <c r="A21" s="17">
        <v>2</v>
      </c>
      <c r="B21" s="18"/>
      <c r="H21" s="6" t="s">
        <v>89</v>
      </c>
      <c r="I21" s="15"/>
    </row>
    <row r="22" spans="1:9">
      <c r="A22" s="17">
        <v>3</v>
      </c>
      <c r="B22" s="18"/>
      <c r="H22" s="6" t="s">
        <v>90</v>
      </c>
      <c r="I22" s="15"/>
    </row>
    <row r="23" spans="1:9">
      <c r="A23" s="17">
        <v>4</v>
      </c>
      <c r="B23" s="18"/>
    </row>
    <row r="24" spans="1:9">
      <c r="A24" s="17">
        <v>5</v>
      </c>
      <c r="B24" s="18"/>
    </row>
    <row r="25" spans="1:9">
      <c r="A25" s="17">
        <v>6</v>
      </c>
      <c r="B25" s="18"/>
    </row>
    <row r="26" spans="1:9">
      <c r="A26" s="17">
        <v>7</v>
      </c>
      <c r="B26" s="18"/>
    </row>
    <row r="27" spans="1:9">
      <c r="A27" s="17">
        <v>8</v>
      </c>
      <c r="B27" s="18"/>
    </row>
    <row r="28" spans="1:9">
      <c r="A28" s="17">
        <v>9</v>
      </c>
      <c r="B28" s="18"/>
    </row>
  </sheetData>
  <mergeCells count="5">
    <mergeCell ref="A1:J1"/>
    <mergeCell ref="D3:F3"/>
    <mergeCell ref="D8:F8"/>
    <mergeCell ref="D13:F13"/>
    <mergeCell ref="D14:F14"/>
  </mergeCells>
  <conditionalFormatting sqref="D14:F14">
    <cfRule type="expression" dxfId="17" priority="1">
      <formula>D14="Complete"</formula>
    </cfRule>
    <cfRule type="expression" dxfId="16" priority="2">
      <formula>D14="Recheck"</formula>
    </cfRule>
    <cfRule type="expression" dxfId="15" priority="3">
      <formula>D14="In Progress"</formula>
    </cfRule>
  </conditionalFormatting>
  <dataValidations count="2">
    <dataValidation type="list" sqref="B8" xr:uid="{00000000-0002-0000-0A00-000000000000}">
      <formula1>"ON,OFF"</formula1>
    </dataValidation>
    <dataValidation type="list" sqref="D14:F14" xr:uid="{00000000-0002-0000-0A00-000001000000}">
      <formula1>"Planned,In Progress,Complete,Recheck"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8"/>
  <sheetViews>
    <sheetView workbookViewId="0">
      <selection sqref="A1:J1"/>
    </sheetView>
  </sheetViews>
  <sheetFormatPr baseColWidth="10" defaultColWidth="8.83203125" defaultRowHeight="15"/>
  <cols>
    <col min="1" max="1" width="22" customWidth="1"/>
    <col min="2" max="2" width="28" customWidth="1"/>
    <col min="3" max="3" width="4" customWidth="1"/>
    <col min="4" max="6" width="13" customWidth="1"/>
    <col min="7" max="7" width="4" customWidth="1"/>
    <col min="8" max="8" width="22" customWidth="1"/>
    <col min="9" max="9" width="14" customWidth="1"/>
    <col min="10" max="10" width="3" customWidth="1"/>
  </cols>
  <sheetData>
    <row r="1" spans="1:10" ht="34.75" customHeight="1">
      <c r="A1" s="26" t="s">
        <v>115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ht="16">
      <c r="A3" s="2" t="s">
        <v>56</v>
      </c>
      <c r="B3" s="3" t="s">
        <v>116</v>
      </c>
      <c r="D3" s="25" t="s">
        <v>58</v>
      </c>
      <c r="E3" s="25"/>
      <c r="F3" s="25"/>
      <c r="H3" s="4" t="s">
        <v>59</v>
      </c>
      <c r="I3" s="4" t="s">
        <v>60</v>
      </c>
    </row>
    <row r="4" spans="1:10" ht="16">
      <c r="A4" s="2" t="s">
        <v>61</v>
      </c>
      <c r="B4" s="3"/>
      <c r="D4" s="12"/>
      <c r="E4" s="12"/>
      <c r="F4" s="12"/>
      <c r="H4" s="6" t="s">
        <v>62</v>
      </c>
      <c r="I4" s="14" t="str">
        <f>IF(COUNT(D4:F6)=0,"",AVERAGE(D4:F6))</f>
        <v/>
      </c>
    </row>
    <row r="5" spans="1:10" ht="16">
      <c r="A5" s="2" t="s">
        <v>63</v>
      </c>
      <c r="B5" s="3" t="s">
        <v>117</v>
      </c>
      <c r="D5" s="12"/>
      <c r="E5" s="12"/>
      <c r="F5" s="12"/>
      <c r="H5" s="6" t="s">
        <v>65</v>
      </c>
      <c r="I5" s="14" t="str">
        <f>IF(COUNT(D4:F6)=0,"",MIN(D4:F6))</f>
        <v/>
      </c>
    </row>
    <row r="6" spans="1:10" ht="16">
      <c r="A6" s="2" t="s">
        <v>3</v>
      </c>
      <c r="B6" s="10">
        <f>Setup!$E$4</f>
        <v>0</v>
      </c>
      <c r="D6" s="12"/>
      <c r="E6" s="12"/>
      <c r="F6" s="12"/>
      <c r="H6" s="6" t="s">
        <v>66</v>
      </c>
      <c r="I6" s="14" t="str">
        <f>IF(COUNT(D4:F6)=0,"",MAX(D4:F6))</f>
        <v/>
      </c>
    </row>
    <row r="7" spans="1:10" ht="16">
      <c r="A7" s="2" t="s">
        <v>5</v>
      </c>
      <c r="B7" s="10">
        <f>Setup!$H$4</f>
        <v>0</v>
      </c>
      <c r="H7" s="6" t="s">
        <v>67</v>
      </c>
      <c r="I7" s="14" t="str">
        <f>IF(COUNT(D4:F6)=0,"",MAX(D4:F6)-MIN(D4:F6))</f>
        <v/>
      </c>
    </row>
    <row r="8" spans="1:10" ht="16">
      <c r="A8" s="2" t="s">
        <v>68</v>
      </c>
      <c r="B8" s="3" t="s">
        <v>46</v>
      </c>
      <c r="D8" s="25" t="s">
        <v>69</v>
      </c>
      <c r="E8" s="25"/>
      <c r="F8" s="25"/>
      <c r="H8" s="6" t="s">
        <v>70</v>
      </c>
      <c r="I8" s="14" t="str">
        <f>IF(COUNT(D4:F6)&lt;2,"",_xludf.STDEV.S(D4:F6)/AVERAGE(D4:F6)*100)</f>
        <v/>
      </c>
    </row>
    <row r="9" spans="1:10" ht="16">
      <c r="A9" s="2" t="s">
        <v>71</v>
      </c>
      <c r="B9" s="11"/>
      <c r="D9" s="13"/>
      <c r="E9" s="13"/>
      <c r="F9" s="13"/>
    </row>
    <row r="10" spans="1:10" ht="16">
      <c r="A10" s="2" t="s">
        <v>72</v>
      </c>
      <c r="B10" s="11"/>
      <c r="D10" s="13"/>
      <c r="E10" s="13"/>
      <c r="F10" s="13"/>
      <c r="H10" s="4" t="s">
        <v>73</v>
      </c>
      <c r="I10" s="4" t="s">
        <v>60</v>
      </c>
    </row>
    <row r="11" spans="1:10" ht="16">
      <c r="A11" s="2" t="s">
        <v>74</v>
      </c>
      <c r="B11" s="3"/>
      <c r="D11" s="13"/>
      <c r="E11" s="13"/>
      <c r="F11" s="13"/>
      <c r="H11" s="6" t="s">
        <v>75</v>
      </c>
      <c r="I11" s="14" t="str">
        <f>IF(COUNT(D9:F11)=0,"",AVERAGE(D9:F11))</f>
        <v/>
      </c>
    </row>
    <row r="12" spans="1:10" ht="32">
      <c r="A12" s="2" t="s">
        <v>76</v>
      </c>
      <c r="B12" s="3"/>
      <c r="H12" s="6" t="s">
        <v>77</v>
      </c>
      <c r="I12" s="14" t="str">
        <f>IF(COUNT(D9:F11)=0,"",MIN(D9:F11))</f>
        <v/>
      </c>
    </row>
    <row r="13" spans="1:10" ht="16">
      <c r="A13" s="2" t="s">
        <v>78</v>
      </c>
      <c r="B13" s="3" t="str">
        <f>IF(B12="","",HYPERLINK(B12,"Open DC curve"))</f>
        <v/>
      </c>
      <c r="D13" s="27" t="s">
        <v>79</v>
      </c>
      <c r="E13" s="27"/>
      <c r="F13" s="27"/>
      <c r="H13" s="6" t="s">
        <v>80</v>
      </c>
      <c r="I13" s="14" t="str">
        <f>IF(COUNT(D9:F11)=0,"",MAX(D9:F11))</f>
        <v/>
      </c>
    </row>
    <row r="14" spans="1:10" ht="16">
      <c r="A14" s="2" t="s">
        <v>26</v>
      </c>
      <c r="B14" s="3"/>
      <c r="D14" s="28" t="s">
        <v>47</v>
      </c>
      <c r="E14" s="28"/>
      <c r="F14" s="28"/>
      <c r="H14" s="6" t="s">
        <v>81</v>
      </c>
      <c r="I14" s="14" t="str">
        <f>IF(COUNT(D9:F11)=0,"",MAX(D9:F11)-MIN(D9:F11))</f>
        <v/>
      </c>
    </row>
    <row r="15" spans="1:10">
      <c r="H15" s="6" t="s">
        <v>70</v>
      </c>
      <c r="I15" s="14" t="str">
        <f>IF(COUNT(D9:F11)&lt;2,"",_xludf.STDEV.S(D9:F11)/AVERAGE(D9:F11)*100)</f>
        <v/>
      </c>
    </row>
    <row r="17" spans="1:9">
      <c r="A17" s="4" t="s">
        <v>82</v>
      </c>
      <c r="B17" s="4"/>
      <c r="H17" s="4" t="s">
        <v>83</v>
      </c>
      <c r="I17" s="4" t="s">
        <v>60</v>
      </c>
    </row>
    <row r="18" spans="1:9">
      <c r="A18" s="16" t="s">
        <v>84</v>
      </c>
      <c r="B18" s="16" t="s">
        <v>85</v>
      </c>
      <c r="H18" s="6" t="s">
        <v>86</v>
      </c>
      <c r="I18" s="15"/>
    </row>
    <row r="19" spans="1:9">
      <c r="A19" s="17">
        <v>0</v>
      </c>
      <c r="B19" s="18"/>
      <c r="H19" s="6" t="s">
        <v>87</v>
      </c>
      <c r="I19" s="15"/>
    </row>
    <row r="20" spans="1:9">
      <c r="A20" s="17">
        <v>1</v>
      </c>
      <c r="B20" s="18"/>
      <c r="H20" s="6" t="s">
        <v>88</v>
      </c>
      <c r="I20" s="15"/>
    </row>
    <row r="21" spans="1:9">
      <c r="A21" s="17">
        <v>2</v>
      </c>
      <c r="B21" s="18"/>
      <c r="H21" s="6" t="s">
        <v>89</v>
      </c>
      <c r="I21" s="15"/>
    </row>
    <row r="22" spans="1:9">
      <c r="A22" s="17">
        <v>3</v>
      </c>
      <c r="B22" s="18"/>
      <c r="H22" s="6" t="s">
        <v>90</v>
      </c>
      <c r="I22" s="15"/>
    </row>
    <row r="23" spans="1:9">
      <c r="A23" s="17">
        <v>4</v>
      </c>
      <c r="B23" s="18"/>
    </row>
    <row r="24" spans="1:9">
      <c r="A24" s="17">
        <v>5</v>
      </c>
      <c r="B24" s="18"/>
    </row>
    <row r="25" spans="1:9">
      <c r="A25" s="17">
        <v>6</v>
      </c>
      <c r="B25" s="18"/>
    </row>
    <row r="26" spans="1:9">
      <c r="A26" s="17">
        <v>7</v>
      </c>
      <c r="B26" s="18"/>
    </row>
    <row r="27" spans="1:9">
      <c r="A27" s="17">
        <v>8</v>
      </c>
      <c r="B27" s="18"/>
    </row>
    <row r="28" spans="1:9">
      <c r="A28" s="17">
        <v>9</v>
      </c>
      <c r="B28" s="18"/>
    </row>
  </sheetData>
  <mergeCells count="5">
    <mergeCell ref="A1:J1"/>
    <mergeCell ref="D3:F3"/>
    <mergeCell ref="D8:F8"/>
    <mergeCell ref="D13:F13"/>
    <mergeCell ref="D14:F14"/>
  </mergeCells>
  <conditionalFormatting sqref="D14:F14">
    <cfRule type="expression" dxfId="14" priority="1">
      <formula>D14="Complete"</formula>
    </cfRule>
    <cfRule type="expression" dxfId="13" priority="2">
      <formula>D14="Recheck"</formula>
    </cfRule>
    <cfRule type="expression" dxfId="12" priority="3">
      <formula>D14="In Progress"</formula>
    </cfRule>
  </conditionalFormatting>
  <dataValidations count="2">
    <dataValidation type="list" sqref="B8" xr:uid="{00000000-0002-0000-0B00-000000000000}">
      <formula1>"ON,OFF"</formula1>
    </dataValidation>
    <dataValidation type="list" sqref="D14:F14" xr:uid="{00000000-0002-0000-0B00-000001000000}">
      <formula1>"Planned,In Progress,Complete,Recheck"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8"/>
  <sheetViews>
    <sheetView workbookViewId="0"/>
  </sheetViews>
  <sheetFormatPr baseColWidth="10" defaultColWidth="8.83203125" defaultRowHeight="15"/>
  <cols>
    <col min="1" max="1" width="22" customWidth="1"/>
    <col min="2" max="2" width="28" customWidth="1"/>
    <col min="3" max="3" width="4" customWidth="1"/>
    <col min="4" max="6" width="13" customWidth="1"/>
    <col min="7" max="7" width="4" customWidth="1"/>
    <col min="8" max="8" width="22" customWidth="1"/>
    <col min="9" max="9" width="14" customWidth="1"/>
    <col min="10" max="10" width="3" customWidth="1"/>
  </cols>
  <sheetData>
    <row r="1" spans="1:10" ht="34.75" customHeight="1">
      <c r="A1" s="26" t="s">
        <v>118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ht="16">
      <c r="A3" s="2" t="s">
        <v>56</v>
      </c>
      <c r="B3" s="3" t="s">
        <v>119</v>
      </c>
      <c r="D3" s="25" t="s">
        <v>58</v>
      </c>
      <c r="E3" s="25"/>
      <c r="F3" s="25"/>
      <c r="H3" s="4" t="s">
        <v>59</v>
      </c>
      <c r="I3" s="4" t="s">
        <v>60</v>
      </c>
    </row>
    <row r="4" spans="1:10" ht="16">
      <c r="A4" s="2" t="s">
        <v>61</v>
      </c>
      <c r="B4" s="3"/>
      <c r="D4" s="12"/>
      <c r="E4" s="12"/>
      <c r="F4" s="12"/>
      <c r="H4" s="6" t="s">
        <v>62</v>
      </c>
      <c r="I4" s="14" t="str">
        <f>IF(COUNT(D4:F6)=0,"",AVERAGE(D4:F6))</f>
        <v/>
      </c>
    </row>
    <row r="5" spans="1:10" ht="16">
      <c r="A5" s="2" t="s">
        <v>63</v>
      </c>
      <c r="B5" s="3" t="s">
        <v>120</v>
      </c>
      <c r="D5" s="12"/>
      <c r="E5" s="12"/>
      <c r="F5" s="12"/>
      <c r="H5" s="6" t="s">
        <v>65</v>
      </c>
      <c r="I5" s="14" t="str">
        <f>IF(COUNT(D4:F6)=0,"",MIN(D4:F6))</f>
        <v/>
      </c>
    </row>
    <row r="6" spans="1:10" ht="16">
      <c r="A6" s="2" t="s">
        <v>3</v>
      </c>
      <c r="B6" s="10">
        <f>Setup!$E$4</f>
        <v>0</v>
      </c>
      <c r="D6" s="12"/>
      <c r="E6" s="12"/>
      <c r="F6" s="12"/>
      <c r="H6" s="6" t="s">
        <v>66</v>
      </c>
      <c r="I6" s="14" t="str">
        <f>IF(COUNT(D4:F6)=0,"",MAX(D4:F6))</f>
        <v/>
      </c>
    </row>
    <row r="7" spans="1:10" ht="16">
      <c r="A7" s="2" t="s">
        <v>5</v>
      </c>
      <c r="B7" s="10">
        <f>Setup!$H$6</f>
        <v>0</v>
      </c>
      <c r="H7" s="6" t="s">
        <v>67</v>
      </c>
      <c r="I7" s="14" t="str">
        <f>IF(COUNT(D4:F6)=0,"",MAX(D4:F6)-MIN(D4:F6))</f>
        <v/>
      </c>
    </row>
    <row r="8" spans="1:10" ht="16">
      <c r="A8" s="2" t="s">
        <v>68</v>
      </c>
      <c r="B8" s="3" t="s">
        <v>46</v>
      </c>
      <c r="D8" s="25" t="s">
        <v>69</v>
      </c>
      <c r="E8" s="25"/>
      <c r="F8" s="25"/>
      <c r="H8" s="6" t="s">
        <v>70</v>
      </c>
      <c r="I8" s="14" t="str">
        <f>IF(COUNT(D4:F6)&lt;2,"",_xludf.STDEV.S(D4:F6)/AVERAGE(D4:F6)*100)</f>
        <v/>
      </c>
    </row>
    <row r="9" spans="1:10" ht="16">
      <c r="A9" s="2" t="s">
        <v>71</v>
      </c>
      <c r="B9" s="11"/>
      <c r="D9" s="13"/>
      <c r="E9" s="13"/>
      <c r="F9" s="13"/>
    </row>
    <row r="10" spans="1:10" ht="16">
      <c r="A10" s="2" t="s">
        <v>72</v>
      </c>
      <c r="B10" s="11"/>
      <c r="D10" s="13"/>
      <c r="E10" s="13"/>
      <c r="F10" s="13"/>
      <c r="H10" s="4" t="s">
        <v>73</v>
      </c>
      <c r="I10" s="4" t="s">
        <v>60</v>
      </c>
    </row>
    <row r="11" spans="1:10" ht="16">
      <c r="A11" s="2" t="s">
        <v>74</v>
      </c>
      <c r="B11" s="3"/>
      <c r="D11" s="13"/>
      <c r="E11" s="13"/>
      <c r="F11" s="13"/>
      <c r="H11" s="6" t="s">
        <v>75</v>
      </c>
      <c r="I11" s="14" t="str">
        <f>IF(COUNT(D9:F11)=0,"",AVERAGE(D9:F11))</f>
        <v/>
      </c>
    </row>
    <row r="12" spans="1:10" ht="32">
      <c r="A12" s="2" t="s">
        <v>76</v>
      </c>
      <c r="B12" s="3"/>
      <c r="H12" s="6" t="s">
        <v>77</v>
      </c>
      <c r="I12" s="14" t="str">
        <f>IF(COUNT(D9:F11)=0,"",MIN(D9:F11))</f>
        <v/>
      </c>
    </row>
    <row r="13" spans="1:10" ht="16">
      <c r="A13" s="2" t="s">
        <v>78</v>
      </c>
      <c r="B13" s="3" t="str">
        <f>IF(B12="","",HYPERLINK(B12,"Open DC curve"))</f>
        <v/>
      </c>
      <c r="D13" s="27" t="s">
        <v>79</v>
      </c>
      <c r="E13" s="27"/>
      <c r="F13" s="27"/>
      <c r="H13" s="6" t="s">
        <v>80</v>
      </c>
      <c r="I13" s="14" t="str">
        <f>IF(COUNT(D9:F11)=0,"",MAX(D9:F11))</f>
        <v/>
      </c>
    </row>
    <row r="14" spans="1:10" ht="16">
      <c r="A14" s="2" t="s">
        <v>26</v>
      </c>
      <c r="B14" s="3"/>
      <c r="D14" s="28" t="s">
        <v>47</v>
      </c>
      <c r="E14" s="28"/>
      <c r="F14" s="28"/>
      <c r="H14" s="6" t="s">
        <v>81</v>
      </c>
      <c r="I14" s="14" t="str">
        <f>IF(COUNT(D9:F11)=0,"",MAX(D9:F11)-MIN(D9:F11))</f>
        <v/>
      </c>
    </row>
    <row r="15" spans="1:10">
      <c r="H15" s="6" t="s">
        <v>70</v>
      </c>
      <c r="I15" s="14" t="str">
        <f>IF(COUNT(D9:F11)&lt;2,"",_xludf.STDEV.S(D9:F11)/AVERAGE(D9:F11)*100)</f>
        <v/>
      </c>
    </row>
    <row r="17" spans="1:9">
      <c r="A17" s="4" t="s">
        <v>82</v>
      </c>
      <c r="B17" s="4"/>
      <c r="H17" s="4" t="s">
        <v>83</v>
      </c>
      <c r="I17" s="4" t="s">
        <v>60</v>
      </c>
    </row>
    <row r="18" spans="1:9">
      <c r="A18" s="16" t="s">
        <v>84</v>
      </c>
      <c r="B18" s="16" t="s">
        <v>85</v>
      </c>
      <c r="H18" s="6" t="s">
        <v>86</v>
      </c>
      <c r="I18" s="15"/>
    </row>
    <row r="19" spans="1:9">
      <c r="A19" s="17">
        <v>0</v>
      </c>
      <c r="B19" s="18"/>
      <c r="H19" s="6" t="s">
        <v>87</v>
      </c>
      <c r="I19" s="15"/>
    </row>
    <row r="20" spans="1:9">
      <c r="A20" s="17">
        <v>1</v>
      </c>
      <c r="B20" s="18"/>
      <c r="H20" s="6" t="s">
        <v>88</v>
      </c>
      <c r="I20" s="15"/>
    </row>
    <row r="21" spans="1:9">
      <c r="A21" s="17">
        <v>2</v>
      </c>
      <c r="B21" s="18"/>
      <c r="H21" s="6" t="s">
        <v>89</v>
      </c>
      <c r="I21" s="15"/>
    </row>
    <row r="22" spans="1:9">
      <c r="A22" s="17">
        <v>3</v>
      </c>
      <c r="B22" s="18"/>
      <c r="H22" s="6" t="s">
        <v>90</v>
      </c>
      <c r="I22" s="15"/>
    </row>
    <row r="23" spans="1:9">
      <c r="A23" s="17">
        <v>4</v>
      </c>
      <c r="B23" s="18"/>
    </row>
    <row r="24" spans="1:9">
      <c r="A24" s="17">
        <v>5</v>
      </c>
      <c r="B24" s="18"/>
    </row>
    <row r="25" spans="1:9">
      <c r="A25" s="17">
        <v>6</v>
      </c>
      <c r="B25" s="18"/>
    </row>
    <row r="26" spans="1:9">
      <c r="A26" s="17">
        <v>7</v>
      </c>
      <c r="B26" s="18"/>
    </row>
    <row r="27" spans="1:9">
      <c r="A27" s="17">
        <v>8</v>
      </c>
      <c r="B27" s="18"/>
    </row>
    <row r="28" spans="1:9">
      <c r="A28" s="17">
        <v>9</v>
      </c>
      <c r="B28" s="18"/>
    </row>
  </sheetData>
  <mergeCells count="5">
    <mergeCell ref="A1:J1"/>
    <mergeCell ref="D3:F3"/>
    <mergeCell ref="D8:F8"/>
    <mergeCell ref="D13:F13"/>
    <mergeCell ref="D14:F14"/>
  </mergeCells>
  <conditionalFormatting sqref="D14:F14">
    <cfRule type="expression" dxfId="11" priority="1">
      <formula>D14="Complete"</formula>
    </cfRule>
    <cfRule type="expression" dxfId="10" priority="2">
      <formula>D14="Recheck"</formula>
    </cfRule>
    <cfRule type="expression" dxfId="9" priority="3">
      <formula>D14="In Progress"</formula>
    </cfRule>
  </conditionalFormatting>
  <dataValidations count="2">
    <dataValidation type="list" sqref="B8" xr:uid="{00000000-0002-0000-0C00-000000000000}">
      <formula1>"ON,OFF"</formula1>
    </dataValidation>
    <dataValidation type="list" sqref="D14:F14" xr:uid="{00000000-0002-0000-0C00-000001000000}">
      <formula1>"Planned,In Progress,Complete,Recheck"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8"/>
  <sheetViews>
    <sheetView workbookViewId="0"/>
  </sheetViews>
  <sheetFormatPr baseColWidth="10" defaultColWidth="8.83203125" defaultRowHeight="15"/>
  <cols>
    <col min="1" max="1" width="22" customWidth="1"/>
    <col min="2" max="2" width="28" customWidth="1"/>
    <col min="3" max="3" width="4" customWidth="1"/>
    <col min="4" max="6" width="13" customWidth="1"/>
    <col min="7" max="7" width="4" customWidth="1"/>
    <col min="8" max="8" width="22" customWidth="1"/>
    <col min="9" max="9" width="14" customWidth="1"/>
    <col min="10" max="10" width="3" customWidth="1"/>
  </cols>
  <sheetData>
    <row r="1" spans="1:10" ht="34.75" customHeight="1">
      <c r="A1" s="26" t="s">
        <v>121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ht="16">
      <c r="A3" s="2" t="s">
        <v>56</v>
      </c>
      <c r="B3" s="3" t="s">
        <v>122</v>
      </c>
      <c r="D3" s="25" t="s">
        <v>58</v>
      </c>
      <c r="E3" s="25"/>
      <c r="F3" s="25"/>
      <c r="H3" s="4" t="s">
        <v>59</v>
      </c>
      <c r="I3" s="4" t="s">
        <v>60</v>
      </c>
    </row>
    <row r="4" spans="1:10" ht="16">
      <c r="A4" s="2" t="s">
        <v>61</v>
      </c>
      <c r="B4" s="3"/>
      <c r="D4" s="12"/>
      <c r="E4" s="12"/>
      <c r="F4" s="12"/>
      <c r="H4" s="6" t="s">
        <v>62</v>
      </c>
      <c r="I4" s="14" t="str">
        <f>IF(COUNT(D4:F6)=0,"",AVERAGE(D4:F6))</f>
        <v/>
      </c>
    </row>
    <row r="5" spans="1:10" ht="32">
      <c r="A5" s="2" t="s">
        <v>63</v>
      </c>
      <c r="B5" s="3" t="s">
        <v>123</v>
      </c>
      <c r="D5" s="12"/>
      <c r="E5" s="12"/>
      <c r="F5" s="12"/>
      <c r="H5" s="6" t="s">
        <v>65</v>
      </c>
      <c r="I5" s="14" t="str">
        <f>IF(COUNT(D4:F6)=0,"",MIN(D4:F6))</f>
        <v/>
      </c>
    </row>
    <row r="6" spans="1:10" ht="16">
      <c r="A6" s="2" t="s">
        <v>3</v>
      </c>
      <c r="B6" s="10"/>
      <c r="D6" s="12"/>
      <c r="E6" s="12"/>
      <c r="F6" s="12"/>
      <c r="H6" s="6" t="s">
        <v>66</v>
      </c>
      <c r="I6" s="14" t="str">
        <f>IF(COUNT(D4:F6)=0,"",MAX(D4:F6))</f>
        <v/>
      </c>
    </row>
    <row r="7" spans="1:10" ht="16">
      <c r="A7" s="2" t="s">
        <v>5</v>
      </c>
      <c r="B7" s="10"/>
      <c r="H7" s="6" t="s">
        <v>67</v>
      </c>
      <c r="I7" s="14" t="str">
        <f>IF(COUNT(D4:F6)=0,"",MAX(D4:F6)-MIN(D4:F6))</f>
        <v/>
      </c>
    </row>
    <row r="8" spans="1:10" ht="16">
      <c r="A8" s="2" t="s">
        <v>68</v>
      </c>
      <c r="B8" s="3" t="s">
        <v>49</v>
      </c>
      <c r="D8" s="25" t="s">
        <v>69</v>
      </c>
      <c r="E8" s="25"/>
      <c r="F8" s="25"/>
      <c r="H8" s="6" t="s">
        <v>70</v>
      </c>
      <c r="I8" s="14" t="str">
        <f>IF(COUNT(D4:F6)&lt;2,"",_xludf.STDEV.S(D4:F6)/AVERAGE(D4:F6)*100)</f>
        <v/>
      </c>
    </row>
    <row r="9" spans="1:10" ht="16">
      <c r="A9" s="2" t="s">
        <v>71</v>
      </c>
      <c r="B9" s="11"/>
      <c r="D9" s="13"/>
      <c r="E9" s="13"/>
      <c r="F9" s="13"/>
    </row>
    <row r="10" spans="1:10" ht="16">
      <c r="A10" s="2" t="s">
        <v>72</v>
      </c>
      <c r="B10" s="11"/>
      <c r="D10" s="13"/>
      <c r="E10" s="13"/>
      <c r="F10" s="13"/>
      <c r="H10" s="4" t="s">
        <v>73</v>
      </c>
      <c r="I10" s="4" t="s">
        <v>60</v>
      </c>
    </row>
    <row r="11" spans="1:10" ht="16">
      <c r="A11" s="2" t="s">
        <v>74</v>
      </c>
      <c r="B11" s="3"/>
      <c r="D11" s="13"/>
      <c r="E11" s="13"/>
      <c r="F11" s="13"/>
      <c r="H11" s="6" t="s">
        <v>75</v>
      </c>
      <c r="I11" s="14" t="str">
        <f>IF(COUNT(D9:F11)=0,"",AVERAGE(D9:F11))</f>
        <v/>
      </c>
    </row>
    <row r="12" spans="1:10" ht="32">
      <c r="A12" s="2" t="s">
        <v>76</v>
      </c>
      <c r="B12" s="3"/>
      <c r="H12" s="6" t="s">
        <v>77</v>
      </c>
      <c r="I12" s="14" t="str">
        <f>IF(COUNT(D9:F11)=0,"",MIN(D9:F11))</f>
        <v/>
      </c>
    </row>
    <row r="13" spans="1:10" ht="16">
      <c r="A13" s="2" t="s">
        <v>78</v>
      </c>
      <c r="B13" s="3" t="str">
        <f>IF(B12="","",HYPERLINK(B12,"Open DC curve"))</f>
        <v/>
      </c>
      <c r="D13" s="27" t="s">
        <v>79</v>
      </c>
      <c r="E13" s="27"/>
      <c r="F13" s="27"/>
      <c r="H13" s="6" t="s">
        <v>80</v>
      </c>
      <c r="I13" s="14" t="str">
        <f>IF(COUNT(D9:F11)=0,"",MAX(D9:F11))</f>
        <v/>
      </c>
    </row>
    <row r="14" spans="1:10" ht="16">
      <c r="A14" s="2" t="s">
        <v>26</v>
      </c>
      <c r="B14" s="3"/>
      <c r="D14" s="28" t="s">
        <v>47</v>
      </c>
      <c r="E14" s="28"/>
      <c r="F14" s="28"/>
      <c r="H14" s="6" t="s">
        <v>81</v>
      </c>
      <c r="I14" s="14" t="str">
        <f>IF(COUNT(D9:F11)=0,"",MAX(D9:F11)-MIN(D9:F11))</f>
        <v/>
      </c>
    </row>
    <row r="15" spans="1:10">
      <c r="H15" s="6" t="s">
        <v>70</v>
      </c>
      <c r="I15" s="14" t="str">
        <f>IF(COUNT(D9:F11)&lt;2,"",_xludf.STDEV.S(D9:F11)/AVERAGE(D9:F11)*100)</f>
        <v/>
      </c>
    </row>
    <row r="17" spans="1:9">
      <c r="A17" s="4" t="s">
        <v>82</v>
      </c>
      <c r="B17" s="4"/>
      <c r="H17" s="4" t="s">
        <v>83</v>
      </c>
      <c r="I17" s="4" t="s">
        <v>60</v>
      </c>
    </row>
    <row r="18" spans="1:9">
      <c r="A18" s="16" t="s">
        <v>84</v>
      </c>
      <c r="B18" s="16" t="s">
        <v>85</v>
      </c>
      <c r="H18" s="6" t="s">
        <v>86</v>
      </c>
      <c r="I18" s="15"/>
    </row>
    <row r="19" spans="1:9">
      <c r="A19" s="17">
        <v>0</v>
      </c>
      <c r="B19" s="18"/>
      <c r="H19" s="6" t="s">
        <v>87</v>
      </c>
      <c r="I19" s="15"/>
    </row>
    <row r="20" spans="1:9">
      <c r="A20" s="17">
        <v>1</v>
      </c>
      <c r="B20" s="18"/>
      <c r="H20" s="6" t="s">
        <v>88</v>
      </c>
      <c r="I20" s="15"/>
    </row>
    <row r="21" spans="1:9">
      <c r="A21" s="17">
        <v>2</v>
      </c>
      <c r="B21" s="18"/>
      <c r="H21" s="6" t="s">
        <v>89</v>
      </c>
      <c r="I21" s="15"/>
    </row>
    <row r="22" spans="1:9">
      <c r="A22" s="17">
        <v>3</v>
      </c>
      <c r="B22" s="18"/>
      <c r="H22" s="6" t="s">
        <v>90</v>
      </c>
      <c r="I22" s="15"/>
    </row>
    <row r="23" spans="1:9">
      <c r="A23" s="17">
        <v>4</v>
      </c>
      <c r="B23" s="18"/>
    </row>
    <row r="24" spans="1:9">
      <c r="A24" s="17">
        <v>5</v>
      </c>
      <c r="B24" s="18"/>
    </row>
    <row r="25" spans="1:9">
      <c r="A25" s="17">
        <v>6</v>
      </c>
      <c r="B25" s="18"/>
    </row>
    <row r="26" spans="1:9">
      <c r="A26" s="17">
        <v>7</v>
      </c>
      <c r="B26" s="18"/>
    </row>
    <row r="27" spans="1:9">
      <c r="A27" s="17">
        <v>8</v>
      </c>
      <c r="B27" s="18"/>
    </row>
    <row r="28" spans="1:9">
      <c r="A28" s="17">
        <v>9</v>
      </c>
      <c r="B28" s="18"/>
    </row>
  </sheetData>
  <mergeCells count="5">
    <mergeCell ref="A1:J1"/>
    <mergeCell ref="D3:F3"/>
    <mergeCell ref="D8:F8"/>
    <mergeCell ref="D13:F13"/>
    <mergeCell ref="D14:F14"/>
  </mergeCells>
  <conditionalFormatting sqref="D14:F14">
    <cfRule type="expression" dxfId="8" priority="1">
      <formula>D14="Complete"</formula>
    </cfRule>
    <cfRule type="expression" dxfId="7" priority="2">
      <formula>D14="Recheck"</formula>
    </cfRule>
    <cfRule type="expression" dxfId="6" priority="3">
      <formula>D14="In Progress"</formula>
    </cfRule>
  </conditionalFormatting>
  <dataValidations count="2">
    <dataValidation type="list" sqref="B8" xr:uid="{00000000-0002-0000-0D00-000000000000}">
      <formula1>"ON,OFF"</formula1>
    </dataValidation>
    <dataValidation type="list" sqref="D14:F14" xr:uid="{00000000-0002-0000-0D00-000001000000}">
      <formula1>"Planned,In Progress,Complete,Recheck"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8"/>
  <sheetViews>
    <sheetView workbookViewId="0">
      <selection sqref="A1:J1"/>
    </sheetView>
  </sheetViews>
  <sheetFormatPr baseColWidth="10" defaultColWidth="8.83203125" defaultRowHeight="15"/>
  <cols>
    <col min="1" max="1" width="22" customWidth="1"/>
    <col min="2" max="2" width="28" customWidth="1"/>
    <col min="3" max="3" width="4" customWidth="1"/>
    <col min="4" max="6" width="13" customWidth="1"/>
    <col min="7" max="7" width="4" customWidth="1"/>
    <col min="8" max="8" width="22" customWidth="1"/>
    <col min="9" max="9" width="14" customWidth="1"/>
    <col min="10" max="10" width="3" customWidth="1"/>
  </cols>
  <sheetData>
    <row r="1" spans="1:10" ht="34.75" customHeight="1">
      <c r="A1" s="26" t="s">
        <v>124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ht="16">
      <c r="A3" s="2" t="s">
        <v>56</v>
      </c>
      <c r="B3" s="3" t="s">
        <v>125</v>
      </c>
      <c r="D3" s="25" t="s">
        <v>58</v>
      </c>
      <c r="E3" s="25"/>
      <c r="F3" s="25"/>
      <c r="H3" s="4" t="s">
        <v>59</v>
      </c>
      <c r="I3" s="4" t="s">
        <v>60</v>
      </c>
    </row>
    <row r="4" spans="1:10" ht="16">
      <c r="A4" s="2" t="s">
        <v>61</v>
      </c>
      <c r="B4" s="3"/>
      <c r="D4" s="12"/>
      <c r="E4" s="12"/>
      <c r="F4" s="12"/>
      <c r="H4" s="6" t="s">
        <v>62</v>
      </c>
      <c r="I4" s="14" t="str">
        <f>IF(COUNT(D4:F6)=0,"",AVERAGE(D4:F6))</f>
        <v/>
      </c>
    </row>
    <row r="5" spans="1:10" ht="32">
      <c r="A5" s="2" t="s">
        <v>63</v>
      </c>
      <c r="B5" s="3" t="s">
        <v>126</v>
      </c>
      <c r="D5" s="12"/>
      <c r="E5" s="12"/>
      <c r="F5" s="12"/>
      <c r="H5" s="6" t="s">
        <v>65</v>
      </c>
      <c r="I5" s="14" t="str">
        <f>IF(COUNT(D4:F6)=0,"",MIN(D4:F6))</f>
        <v/>
      </c>
    </row>
    <row r="6" spans="1:10" ht="16">
      <c r="A6" s="2" t="s">
        <v>3</v>
      </c>
      <c r="B6" s="10"/>
      <c r="D6" s="12"/>
      <c r="E6" s="12"/>
      <c r="F6" s="12"/>
      <c r="H6" s="6" t="s">
        <v>66</v>
      </c>
      <c r="I6" s="14" t="str">
        <f>IF(COUNT(D4:F6)=0,"",MAX(D4:F6))</f>
        <v/>
      </c>
    </row>
    <row r="7" spans="1:10" ht="16">
      <c r="A7" s="2" t="s">
        <v>5</v>
      </c>
      <c r="B7" s="10"/>
      <c r="H7" s="6" t="s">
        <v>67</v>
      </c>
      <c r="I7" s="14" t="str">
        <f>IF(COUNT(D4:F6)=0,"",MAX(D4:F6)-MIN(D4:F6))</f>
        <v/>
      </c>
    </row>
    <row r="8" spans="1:10" ht="16">
      <c r="A8" s="2" t="s">
        <v>68</v>
      </c>
      <c r="B8" s="3" t="s">
        <v>49</v>
      </c>
      <c r="D8" s="25" t="s">
        <v>69</v>
      </c>
      <c r="E8" s="25"/>
      <c r="F8" s="25"/>
      <c r="H8" s="6" t="s">
        <v>70</v>
      </c>
      <c r="I8" s="14" t="str">
        <f>IF(COUNT(D4:F6)&lt;2,"",_xludf.STDEV.S(D4:F6)/AVERAGE(D4:F6)*100)</f>
        <v/>
      </c>
    </row>
    <row r="9" spans="1:10" ht="16">
      <c r="A9" s="2" t="s">
        <v>71</v>
      </c>
      <c r="B9" s="11"/>
      <c r="D9" s="13"/>
      <c r="E9" s="13"/>
      <c r="F9" s="13"/>
    </row>
    <row r="10" spans="1:10" ht="16">
      <c r="A10" s="2" t="s">
        <v>72</v>
      </c>
      <c r="B10" s="11"/>
      <c r="D10" s="13"/>
      <c r="E10" s="13"/>
      <c r="F10" s="13"/>
      <c r="H10" s="4" t="s">
        <v>73</v>
      </c>
      <c r="I10" s="4" t="s">
        <v>60</v>
      </c>
    </row>
    <row r="11" spans="1:10" ht="16">
      <c r="A11" s="2" t="s">
        <v>74</v>
      </c>
      <c r="B11" s="3"/>
      <c r="D11" s="13"/>
      <c r="E11" s="13"/>
      <c r="F11" s="13"/>
      <c r="H11" s="6" t="s">
        <v>75</v>
      </c>
      <c r="I11" s="14" t="str">
        <f>IF(COUNT(D9:F11)=0,"",AVERAGE(D9:F11))</f>
        <v/>
      </c>
    </row>
    <row r="12" spans="1:10" ht="32">
      <c r="A12" s="2" t="s">
        <v>76</v>
      </c>
      <c r="B12" s="3"/>
      <c r="H12" s="6" t="s">
        <v>77</v>
      </c>
      <c r="I12" s="14" t="str">
        <f>IF(COUNT(D9:F11)=0,"",MIN(D9:F11))</f>
        <v/>
      </c>
    </row>
    <row r="13" spans="1:10" ht="16">
      <c r="A13" s="2" t="s">
        <v>78</v>
      </c>
      <c r="B13" s="3" t="str">
        <f>IF(B12="","",HYPERLINK(B12,"Open DC curve"))</f>
        <v/>
      </c>
      <c r="D13" s="27" t="s">
        <v>79</v>
      </c>
      <c r="E13" s="27"/>
      <c r="F13" s="27"/>
      <c r="H13" s="6" t="s">
        <v>80</v>
      </c>
      <c r="I13" s="14" t="str">
        <f>IF(COUNT(D9:F11)=0,"",MAX(D9:F11))</f>
        <v/>
      </c>
    </row>
    <row r="14" spans="1:10" ht="16">
      <c r="A14" s="2" t="s">
        <v>26</v>
      </c>
      <c r="B14" s="3"/>
      <c r="D14" s="28" t="s">
        <v>47</v>
      </c>
      <c r="E14" s="28"/>
      <c r="F14" s="28"/>
      <c r="H14" s="6" t="s">
        <v>81</v>
      </c>
      <c r="I14" s="14" t="str">
        <f>IF(COUNT(D9:F11)=0,"",MAX(D9:F11)-MIN(D9:F11))</f>
        <v/>
      </c>
    </row>
    <row r="15" spans="1:10">
      <c r="H15" s="6" t="s">
        <v>70</v>
      </c>
      <c r="I15" s="14" t="str">
        <f>IF(COUNT(D9:F11)&lt;2,"",_xludf.STDEV.S(D9:F11)/AVERAGE(D9:F11)*100)</f>
        <v/>
      </c>
    </row>
    <row r="17" spans="1:9">
      <c r="A17" s="4" t="s">
        <v>82</v>
      </c>
      <c r="B17" s="4"/>
      <c r="H17" s="4" t="s">
        <v>83</v>
      </c>
      <c r="I17" s="4" t="s">
        <v>60</v>
      </c>
    </row>
    <row r="18" spans="1:9">
      <c r="A18" s="16" t="s">
        <v>84</v>
      </c>
      <c r="B18" s="16" t="s">
        <v>85</v>
      </c>
      <c r="H18" s="6" t="s">
        <v>86</v>
      </c>
      <c r="I18" s="15"/>
    </row>
    <row r="19" spans="1:9">
      <c r="A19" s="17">
        <v>0</v>
      </c>
      <c r="B19" s="18"/>
      <c r="H19" s="6" t="s">
        <v>87</v>
      </c>
      <c r="I19" s="15"/>
    </row>
    <row r="20" spans="1:9">
      <c r="A20" s="17">
        <v>1</v>
      </c>
      <c r="B20" s="18"/>
      <c r="H20" s="6" t="s">
        <v>88</v>
      </c>
      <c r="I20" s="15"/>
    </row>
    <row r="21" spans="1:9">
      <c r="A21" s="17">
        <v>2</v>
      </c>
      <c r="B21" s="18"/>
      <c r="H21" s="6" t="s">
        <v>89</v>
      </c>
      <c r="I21" s="15"/>
    </row>
    <row r="22" spans="1:9">
      <c r="A22" s="17">
        <v>3</v>
      </c>
      <c r="B22" s="18"/>
      <c r="H22" s="6" t="s">
        <v>90</v>
      </c>
      <c r="I22" s="15"/>
    </row>
    <row r="23" spans="1:9">
      <c r="A23" s="17">
        <v>4</v>
      </c>
      <c r="B23" s="18"/>
    </row>
    <row r="24" spans="1:9">
      <c r="A24" s="17">
        <v>5</v>
      </c>
      <c r="B24" s="18"/>
    </row>
    <row r="25" spans="1:9">
      <c r="A25" s="17">
        <v>6</v>
      </c>
      <c r="B25" s="18"/>
    </row>
    <row r="26" spans="1:9">
      <c r="A26" s="17">
        <v>7</v>
      </c>
      <c r="B26" s="18"/>
    </row>
    <row r="27" spans="1:9">
      <c r="A27" s="17">
        <v>8</v>
      </c>
      <c r="B27" s="18"/>
    </row>
    <row r="28" spans="1:9">
      <c r="A28" s="17">
        <v>9</v>
      </c>
      <c r="B28" s="18"/>
    </row>
  </sheetData>
  <mergeCells count="5">
    <mergeCell ref="A1:J1"/>
    <mergeCell ref="D3:F3"/>
    <mergeCell ref="D8:F8"/>
    <mergeCell ref="D13:F13"/>
    <mergeCell ref="D14:F14"/>
  </mergeCells>
  <conditionalFormatting sqref="D14:F14">
    <cfRule type="expression" dxfId="5" priority="1">
      <formula>D14="Complete"</formula>
    </cfRule>
    <cfRule type="expression" dxfId="4" priority="2">
      <formula>D14="Recheck"</formula>
    </cfRule>
    <cfRule type="expression" dxfId="3" priority="3">
      <formula>D14="In Progress"</formula>
    </cfRule>
  </conditionalFormatting>
  <dataValidations count="2">
    <dataValidation type="list" sqref="B8" xr:uid="{00000000-0002-0000-0E00-000000000000}">
      <formula1>"ON,OFF"</formula1>
    </dataValidation>
    <dataValidation type="list" sqref="D14:F14" xr:uid="{00000000-0002-0000-0E00-000001000000}">
      <formula1>"Planned,In Progress,Complete,Recheck"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21"/>
  <sheetViews>
    <sheetView workbookViewId="0">
      <selection sqref="A1:V1"/>
    </sheetView>
  </sheetViews>
  <sheetFormatPr baseColWidth="10" defaultColWidth="8.83203125" defaultRowHeight="15"/>
  <cols>
    <col min="1" max="1" width="8" customWidth="1"/>
    <col min="2" max="2" width="11" customWidth="1"/>
    <col min="3" max="3" width="34" customWidth="1"/>
    <col min="4" max="4" width="16" customWidth="1"/>
    <col min="5" max="6" width="12" customWidth="1"/>
    <col min="7" max="7" width="9" customWidth="1"/>
    <col min="8" max="10" width="11" customWidth="1"/>
    <col min="11" max="13" width="12" customWidth="1"/>
    <col min="14" max="18" width="10" customWidth="1"/>
    <col min="19" max="19" width="14" customWidth="1"/>
    <col min="20" max="20" width="28" customWidth="1"/>
    <col min="21" max="21" width="12" customWidth="1"/>
    <col min="22" max="22" width="28" customWidth="1"/>
    <col min="23" max="23" width="12" customWidth="1"/>
    <col min="24" max="24" width="10" customWidth="1"/>
  </cols>
  <sheetData>
    <row r="1" spans="1:24" ht="37.25" customHeight="1">
      <c r="A1" s="29" t="s">
        <v>127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3" spans="1:24">
      <c r="A3" s="8" t="s">
        <v>128</v>
      </c>
      <c r="B3" s="8" t="s">
        <v>60</v>
      </c>
      <c r="C3" s="8"/>
      <c r="D3" s="8" t="s">
        <v>128</v>
      </c>
      <c r="E3" s="8" t="s">
        <v>60</v>
      </c>
      <c r="F3" s="8"/>
      <c r="H3" s="30" t="s">
        <v>129</v>
      </c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1:24">
      <c r="A4" s="1" t="s">
        <v>130</v>
      </c>
      <c r="B4" s="14">
        <f>COUNTIF(U9:U21,"Complete")</f>
        <v>0</v>
      </c>
      <c r="D4" s="1" t="s">
        <v>131</v>
      </c>
      <c r="E4" s="14">
        <f>IF(COUNT(K9:K21)=0,"",MAX(K9:K21)-MIN(K9:K21))</f>
        <v>415.44444444444446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</row>
    <row r="5" spans="1:24">
      <c r="A5" s="1" t="s">
        <v>132</v>
      </c>
      <c r="B5" s="14">
        <f>IF(OR(H10="",H13=""),"",ABS(H13-H10))</f>
        <v>10.711111111111109</v>
      </c>
      <c r="D5" s="1" t="s">
        <v>133</v>
      </c>
      <c r="E5" s="14">
        <f>IF(COUNT(H9:H21)=0,"",MAX(H9:H21)-MIN(H9:H21))</f>
        <v>11.277777777777779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8" spans="1:24" ht="45.25" customHeight="1">
      <c r="A8" s="19" t="s">
        <v>134</v>
      </c>
      <c r="B8" s="19" t="s">
        <v>56</v>
      </c>
      <c r="C8" s="19" t="s">
        <v>63</v>
      </c>
      <c r="D8" s="19" t="s">
        <v>61</v>
      </c>
      <c r="E8" s="19" t="s">
        <v>3</v>
      </c>
      <c r="F8" s="19" t="s">
        <v>5</v>
      </c>
      <c r="G8" s="19" t="s">
        <v>68</v>
      </c>
      <c r="H8" s="19" t="s">
        <v>135</v>
      </c>
      <c r="I8" s="19" t="s">
        <v>136</v>
      </c>
      <c r="J8" s="19" t="s">
        <v>137</v>
      </c>
      <c r="K8" s="19" t="s">
        <v>138</v>
      </c>
      <c r="L8" s="19" t="s">
        <v>139</v>
      </c>
      <c r="M8" s="19" t="s">
        <v>140</v>
      </c>
      <c r="N8" s="19" t="s">
        <v>86</v>
      </c>
      <c r="O8" s="19" t="s">
        <v>87</v>
      </c>
      <c r="P8" s="19" t="s">
        <v>88</v>
      </c>
      <c r="Q8" s="19" t="s">
        <v>89</v>
      </c>
      <c r="R8" s="19" t="s">
        <v>90</v>
      </c>
      <c r="S8" s="19" t="s">
        <v>74</v>
      </c>
      <c r="T8" s="19" t="s">
        <v>141</v>
      </c>
      <c r="U8" s="19" t="s">
        <v>44</v>
      </c>
      <c r="V8" s="19" t="s">
        <v>26</v>
      </c>
      <c r="W8" s="4" t="s">
        <v>142</v>
      </c>
      <c r="X8" s="4"/>
    </row>
    <row r="9" spans="1:24" ht="16">
      <c r="A9" s="20">
        <v>1</v>
      </c>
      <c r="B9" s="20" t="s">
        <v>57</v>
      </c>
      <c r="C9" s="20" t="s">
        <v>64</v>
      </c>
      <c r="D9" s="20" t="str">
        <f>IF(Config_01!B4="","",Config_01!B4)</f>
        <v/>
      </c>
      <c r="E9" s="21">
        <f>IF(Config_01!B6="","",Config_01!B6)</f>
        <v>60</v>
      </c>
      <c r="F9" s="21">
        <f>IF(Config_01!B7="","",Config_01!B7)</f>
        <v>150</v>
      </c>
      <c r="G9" s="20" t="str">
        <f>IF(Config_01!B8="","",Config_01!B8)</f>
        <v>ON</v>
      </c>
      <c r="H9" s="22">
        <f>IF(Config_01!I4="","",Config_01!I4)</f>
        <v>34.688888888888897</v>
      </c>
      <c r="I9" s="22">
        <f>IF(Config_01!I7="","",Config_01!I7)</f>
        <v>5.6999999999999993</v>
      </c>
      <c r="J9" s="22" t="e">
        <f ca="1">IF(Config_01!I8="","",Config_01!I8)</f>
        <v>#NAME?</v>
      </c>
      <c r="K9" s="22">
        <f>IF(Config_01!I11="","",Config_01!I11)</f>
        <v>288.55555555555554</v>
      </c>
      <c r="L9" s="22">
        <f>IF(Config_01!I14="","",Config_01!I14)</f>
        <v>114</v>
      </c>
      <c r="M9" s="22" t="e">
        <f ca="1">IF(Config_01!I15="","",Config_01!I15)</f>
        <v>#NAME?</v>
      </c>
      <c r="N9" s="23" t="str">
        <f>IF(Config_01!I18="","",Config_01!I18)</f>
        <v/>
      </c>
      <c r="O9" s="23" t="str">
        <f>IF(Config_01!I19="","",Config_01!I19)</f>
        <v/>
      </c>
      <c r="P9" s="23" t="str">
        <f>IF(Config_01!I20="","",Config_01!I20)</f>
        <v/>
      </c>
      <c r="Q9" s="23" t="str">
        <f>IF(Config_01!I21="","",Config_01!I21)</f>
        <v/>
      </c>
      <c r="R9" s="23" t="str">
        <f>IF(Config_01!I22="","",Config_01!I22)</f>
        <v/>
      </c>
      <c r="S9" s="20" t="str">
        <f>IF(Config_01!B11="","",Config_01!B11)</f>
        <v/>
      </c>
      <c r="T9" s="20" t="str">
        <f>IF(Config_01!B12="","",Config_01!B12)</f>
        <v>20260901_GSM_HLT_DC_R01</v>
      </c>
      <c r="U9" s="20" t="str">
        <f>Config_01!D14</f>
        <v>Planned</v>
      </c>
      <c r="V9" s="20" t="str">
        <f>IF(Config_01!B14="","",Config_01!B14)</f>
        <v/>
      </c>
      <c r="W9" t="s">
        <v>143</v>
      </c>
      <c r="X9" t="str">
        <f t="shared" ref="X9:X21" si="0">IF(T9="","",HYPERLINK(T9,"Open"))</f>
        <v>Open</v>
      </c>
    </row>
    <row r="10" spans="1:24" ht="16">
      <c r="A10" s="20">
        <v>2</v>
      </c>
      <c r="B10" s="20" t="s">
        <v>92</v>
      </c>
      <c r="C10" s="20" t="s">
        <v>93</v>
      </c>
      <c r="D10" s="20" t="str">
        <f>IF(Config_02!B4="","",Config_02!B4)</f>
        <v/>
      </c>
      <c r="E10" s="21">
        <f>IF(Config_02!B6="","",Config_02!B6)</f>
        <v>90</v>
      </c>
      <c r="F10" s="21">
        <f>IF(Config_02!B7="","",Config_02!B7)</f>
        <v>150</v>
      </c>
      <c r="G10" s="20" t="str">
        <f>IF(Config_02!B8="","",Config_02!B8)</f>
        <v>ON</v>
      </c>
      <c r="H10" s="22">
        <f>IF(Config_02!I4="","",Config_02!I4)</f>
        <v>30.588888888888889</v>
      </c>
      <c r="I10" s="22">
        <f>IF(Config_02!I7="","",Config_02!I7)</f>
        <v>3.1000000000000014</v>
      </c>
      <c r="J10" s="22" t="e">
        <f ca="1">IF(Config_02!I8="","",Config_02!I8)</f>
        <v>#NAME?</v>
      </c>
      <c r="K10" s="22">
        <f>IF(Config_02!I11="","",Config_02!I11)</f>
        <v>174.55555555555554</v>
      </c>
      <c r="L10" s="22">
        <f>IF(Config_02!I14="","",Config_02!I14)</f>
        <v>55</v>
      </c>
      <c r="M10" s="22" t="e">
        <f ca="1">IF(Config_02!I15="","",Config_02!I15)</f>
        <v>#NAME?</v>
      </c>
      <c r="N10" s="23" t="str">
        <f>IF(Config_02!I18="","",Config_02!I18)</f>
        <v/>
      </c>
      <c r="O10" s="23" t="str">
        <f>IF(Config_02!I19="","",Config_02!I19)</f>
        <v/>
      </c>
      <c r="P10" s="23" t="str">
        <f>IF(Config_02!I20="","",Config_02!I20)</f>
        <v/>
      </c>
      <c r="Q10" s="23" t="str">
        <f>IF(Config_02!I21="","",Config_02!I21)</f>
        <v/>
      </c>
      <c r="R10" s="23" t="str">
        <f>IF(Config_02!I22="","",Config_02!I22)</f>
        <v/>
      </c>
      <c r="S10" s="20" t="str">
        <f>IF(Config_02!B11="","",Config_02!B11)</f>
        <v/>
      </c>
      <c r="T10" s="20" t="str">
        <f>IF(Config_02!B12="","",Config_02!B12)</f>
        <v>20260901_GSM_HLT_DC_R02</v>
      </c>
      <c r="U10" s="20" t="str">
        <f>Config_02!D14</f>
        <v>Planned</v>
      </c>
      <c r="V10" s="20" t="str">
        <f>IF(Config_02!B14="","",Config_02!B14)</f>
        <v/>
      </c>
      <c r="W10" t="s">
        <v>144</v>
      </c>
      <c r="X10" t="str">
        <f t="shared" si="0"/>
        <v>Open</v>
      </c>
    </row>
    <row r="11" spans="1:24" ht="16">
      <c r="A11" s="20">
        <v>3</v>
      </c>
      <c r="B11" s="20" t="s">
        <v>95</v>
      </c>
      <c r="C11" s="20" t="s">
        <v>96</v>
      </c>
      <c r="D11" s="20" t="str">
        <f>IF(Config_03!B4="","",Config_03!B4)</f>
        <v/>
      </c>
      <c r="E11" s="21">
        <f>IF(Config_03!B6="","",Config_03!B6)</f>
        <v>30</v>
      </c>
      <c r="F11" s="21">
        <f>IF(Config_03!B7="","",Config_03!B7)</f>
        <v>150</v>
      </c>
      <c r="G11" s="20" t="str">
        <f>IF(Config_03!B8="","",Config_03!B8)</f>
        <v>ON</v>
      </c>
      <c r="H11" s="22">
        <f>IF(Config_03!I4="","",Config_03!I4)</f>
        <v>41.577777777777783</v>
      </c>
      <c r="I11" s="22">
        <f>IF(Config_03!I7="","",Config_03!I7)</f>
        <v>10.399999999999999</v>
      </c>
      <c r="J11" s="22" t="e">
        <f ca="1">IF(Config_03!I8="","",Config_03!I8)</f>
        <v>#NAME?</v>
      </c>
      <c r="K11" s="22">
        <f>IF(Config_03!I11="","",Config_03!I11)</f>
        <v>544.22222222222217</v>
      </c>
      <c r="L11" s="22">
        <f>IF(Config_03!I14="","",Config_03!I14)</f>
        <v>200</v>
      </c>
      <c r="M11" s="22" t="e">
        <f ca="1">IF(Config_03!I15="","",Config_03!I15)</f>
        <v>#NAME?</v>
      </c>
      <c r="N11" s="23" t="str">
        <f>IF(Config_03!I18="","",Config_03!I18)</f>
        <v/>
      </c>
      <c r="O11" s="23" t="str">
        <f>IF(Config_03!I19="","",Config_03!I19)</f>
        <v/>
      </c>
      <c r="P11" s="23" t="str">
        <f>IF(Config_03!I20="","",Config_03!I20)</f>
        <v/>
      </c>
      <c r="Q11" s="23" t="str">
        <f>IF(Config_03!I21="","",Config_03!I21)</f>
        <v/>
      </c>
      <c r="R11" s="23" t="str">
        <f>IF(Config_03!I22="","",Config_03!I22)</f>
        <v/>
      </c>
      <c r="S11" s="20" t="str">
        <f>IF(Config_03!B11="","",Config_03!B11)</f>
        <v/>
      </c>
      <c r="T11" s="20" t="str">
        <f>IF(Config_03!B12="","",Config_03!B12)</f>
        <v>20260901_GSM_HLT_DC_R03</v>
      </c>
      <c r="U11" s="20" t="str">
        <f>Config_03!D14</f>
        <v>Planned</v>
      </c>
      <c r="V11" s="20" t="str">
        <f>IF(Config_03!B14="","",Config_03!B14)</f>
        <v/>
      </c>
      <c r="W11" t="s">
        <v>145</v>
      </c>
      <c r="X11" t="str">
        <f t="shared" si="0"/>
        <v>Open</v>
      </c>
    </row>
    <row r="12" spans="1:24" ht="16">
      <c r="A12" s="20">
        <v>4</v>
      </c>
      <c r="B12" s="20" t="s">
        <v>98</v>
      </c>
      <c r="C12" s="20" t="s">
        <v>99</v>
      </c>
      <c r="D12" s="20" t="str">
        <f>IF(Config_04!B4="","",Config_04!B4)</f>
        <v/>
      </c>
      <c r="E12" s="21">
        <f>IF(Config_04!B6="","",Config_04!B6)</f>
        <v>60</v>
      </c>
      <c r="F12" s="21">
        <f>IF(Config_04!B7="","",Config_04!B7)</f>
        <v>120</v>
      </c>
      <c r="G12" s="20" t="str">
        <f>IF(Config_04!B8="","",Config_04!B8)</f>
        <v>ON</v>
      </c>
      <c r="H12" s="22">
        <f>IF(Config_04!I4="","",Config_04!I4)</f>
        <v>33.355555555555561</v>
      </c>
      <c r="I12" s="22">
        <f>IF(Config_04!I7="","",Config_04!I7)</f>
        <v>6.3000000000000007</v>
      </c>
      <c r="J12" s="22" t="e">
        <f ca="1">IF(Config_04!I8="","",Config_04!I8)</f>
        <v>#NAME?</v>
      </c>
      <c r="K12" s="22">
        <f>IF(Config_04!I11="","",Config_04!I11)</f>
        <v>223.44444444444446</v>
      </c>
      <c r="L12" s="22">
        <f>IF(Config_04!I14="","",Config_04!I14)</f>
        <v>127</v>
      </c>
      <c r="M12" s="22" t="e">
        <f ca="1">IF(Config_04!I15="","",Config_04!I15)</f>
        <v>#NAME?</v>
      </c>
      <c r="N12" s="23" t="str">
        <f>IF(Config_04!I18="","",Config_04!I18)</f>
        <v/>
      </c>
      <c r="O12" s="23" t="str">
        <f>IF(Config_04!I19="","",Config_04!I19)</f>
        <v/>
      </c>
      <c r="P12" s="23" t="str">
        <f>IF(Config_04!I20="","",Config_04!I20)</f>
        <v/>
      </c>
      <c r="Q12" s="23" t="str">
        <f>IF(Config_04!I21="","",Config_04!I21)</f>
        <v/>
      </c>
      <c r="R12" s="23" t="str">
        <f>IF(Config_04!I22="","",Config_04!I22)</f>
        <v/>
      </c>
      <c r="S12" s="20" t="str">
        <f>IF(Config_04!B11="","",Config_04!B11)</f>
        <v/>
      </c>
      <c r="T12" s="20" t="str">
        <f>IF(Config_04!B12="","",Config_04!B12)</f>
        <v>20260901_GSM_HLT_DC_R04</v>
      </c>
      <c r="U12" s="20" t="str">
        <f>Config_04!D14</f>
        <v>Planned</v>
      </c>
      <c r="V12" s="20" t="str">
        <f>IF(Config_04!B14="","",Config_04!B14)</f>
        <v/>
      </c>
      <c r="W12" t="s">
        <v>146</v>
      </c>
      <c r="X12" t="str">
        <f t="shared" si="0"/>
        <v>Open</v>
      </c>
    </row>
    <row r="13" spans="1:24" ht="16">
      <c r="A13" s="20">
        <v>5</v>
      </c>
      <c r="B13" s="20" t="s">
        <v>101</v>
      </c>
      <c r="C13" s="20" t="s">
        <v>102</v>
      </c>
      <c r="D13" s="20" t="str">
        <f>IF(Config_05!B4="","",Config_05!B4)</f>
        <v/>
      </c>
      <c r="E13" s="21">
        <f>IF(Config_05!B6="","",Config_05!B6)</f>
        <v>60</v>
      </c>
      <c r="F13" s="21">
        <f>IF(Config_05!B7="","",Config_05!B7)</f>
        <v>200</v>
      </c>
      <c r="G13" s="20" t="str">
        <f>IF(Config_05!B8="","",Config_05!B8)</f>
        <v>ON</v>
      </c>
      <c r="H13" s="22">
        <f>IF(Config_05!I4="","",Config_05!I4)</f>
        <v>41.3</v>
      </c>
      <c r="I13" s="22">
        <f>IF(Config_05!I7="","",Config_05!I7)</f>
        <v>7.6000000000000014</v>
      </c>
      <c r="J13" s="22" t="e">
        <f ca="1">IF(Config_05!I8="","",Config_05!I8)</f>
        <v>#NAME?</v>
      </c>
      <c r="K13" s="22">
        <f>IF(Config_05!I11="","",Config_05!I11)</f>
        <v>590</v>
      </c>
      <c r="L13" s="22">
        <f>IF(Config_05!I14="","",Config_05!I14)</f>
        <v>194</v>
      </c>
      <c r="M13" s="22" t="e">
        <f ca="1">IF(Config_05!I15="","",Config_05!I15)</f>
        <v>#NAME?</v>
      </c>
      <c r="N13" s="23" t="str">
        <f>IF(Config_05!I18="","",Config_05!I18)</f>
        <v/>
      </c>
      <c r="O13" s="23" t="str">
        <f>IF(Config_05!I19="","",Config_05!I19)</f>
        <v/>
      </c>
      <c r="P13" s="23" t="str">
        <f>IF(Config_05!I20="","",Config_05!I20)</f>
        <v/>
      </c>
      <c r="Q13" s="23" t="str">
        <f>IF(Config_05!I21="","",Config_05!I21)</f>
        <v/>
      </c>
      <c r="R13" s="23" t="str">
        <f>IF(Config_05!I22="","",Config_05!I22)</f>
        <v/>
      </c>
      <c r="S13" s="20" t="str">
        <f>IF(Config_05!B11="","",Config_05!B11)</f>
        <v/>
      </c>
      <c r="T13" s="20" t="str">
        <f>IF(Config_05!B12="","",Config_05!B12)</f>
        <v>20260901_GSM_HLT_DC_R05</v>
      </c>
      <c r="U13" s="20" t="str">
        <f>Config_05!D14</f>
        <v>Planned</v>
      </c>
      <c r="V13" s="20" t="str">
        <f>IF(Config_05!B14="","",Config_05!B14)</f>
        <v/>
      </c>
      <c r="W13" t="s">
        <v>147</v>
      </c>
      <c r="X13" t="str">
        <f t="shared" si="0"/>
        <v>Open</v>
      </c>
    </row>
    <row r="14" spans="1:24" ht="16">
      <c r="A14" s="20">
        <v>6</v>
      </c>
      <c r="B14" s="20" t="s">
        <v>104</v>
      </c>
      <c r="C14" s="20" t="s">
        <v>105</v>
      </c>
      <c r="D14" s="20" t="str">
        <f>IF(Config_06!B4="","",Config_06!B4)</f>
        <v/>
      </c>
      <c r="E14" s="21">
        <f>IF(Config_06!B6="","",Config_06!B6)</f>
        <v>60</v>
      </c>
      <c r="F14" s="21">
        <f>IF(Config_06!B7="","",Config_06!B7)</f>
        <v>150</v>
      </c>
      <c r="G14" s="20" t="str">
        <f>IF(Config_06!B8="","",Config_06!B8)</f>
        <v>ON</v>
      </c>
      <c r="H14" s="22">
        <f>IF(Config_06!I4="","",Config_06!I4)</f>
        <v>33.74444444444444</v>
      </c>
      <c r="I14" s="22">
        <f>IF(Config_06!I7="","",Config_06!I7)</f>
        <v>4.8999999999999986</v>
      </c>
      <c r="J14" s="22" t="e">
        <f ca="1">IF(Config_06!I8="","",Config_06!I8)</f>
        <v>#NAME?</v>
      </c>
      <c r="K14" s="22">
        <f>IF(Config_06!I11="","",Config_06!I11)</f>
        <v>291.88888888888891</v>
      </c>
      <c r="L14" s="22">
        <f>IF(Config_06!I14="","",Config_06!I14)</f>
        <v>132</v>
      </c>
      <c r="M14" s="22" t="e">
        <f ca="1">IF(Config_06!I15="","",Config_06!I15)</f>
        <v>#NAME?</v>
      </c>
      <c r="N14" s="23" t="str">
        <f>IF(Config_06!I18="","",Config_06!I18)</f>
        <v/>
      </c>
      <c r="O14" s="23" t="str">
        <f>IF(Config_06!I19="","",Config_06!I19)</f>
        <v/>
      </c>
      <c r="P14" s="23" t="str">
        <f>IF(Config_06!I20="","",Config_06!I20)</f>
        <v/>
      </c>
      <c r="Q14" s="23" t="str">
        <f>IF(Config_06!I21="","",Config_06!I21)</f>
        <v/>
      </c>
      <c r="R14" s="23" t="str">
        <f>IF(Config_06!I22="","",Config_06!I22)</f>
        <v/>
      </c>
      <c r="S14" s="20" t="str">
        <f>IF(Config_06!B11="","",Config_06!B11)</f>
        <v/>
      </c>
      <c r="T14" s="20" t="str">
        <f>IF(Config_06!B12="","",Config_06!B12)</f>
        <v>20260902_GSM_HLT_DC_R01</v>
      </c>
      <c r="U14" s="20" t="str">
        <f>Config_06!D14</f>
        <v>Planned</v>
      </c>
      <c r="V14" s="20" t="str">
        <f>IF(Config_06!B14="","",Config_06!B14)</f>
        <v/>
      </c>
      <c r="W14" t="s">
        <v>148</v>
      </c>
      <c r="X14" t="str">
        <f t="shared" si="0"/>
        <v>Open</v>
      </c>
    </row>
    <row r="15" spans="1:24" ht="16">
      <c r="A15" s="20">
        <v>7</v>
      </c>
      <c r="B15" s="20" t="s">
        <v>107</v>
      </c>
      <c r="C15" s="20" t="s">
        <v>108</v>
      </c>
      <c r="D15" s="20" t="str">
        <f>IF(Config_07!B4="","",Config_07!B4)</f>
        <v/>
      </c>
      <c r="E15" s="21">
        <f>IF(Config_07!B6="","",Config_07!B6)</f>
        <v>60</v>
      </c>
      <c r="F15" s="21">
        <f>IF(Config_07!B7="","",Config_07!B7)</f>
        <v>150</v>
      </c>
      <c r="G15" s="20" t="str">
        <f>IF(Config_07!B8="","",Config_07!B8)</f>
        <v>OFF</v>
      </c>
      <c r="H15" s="22">
        <f>IF(Config_07!I4="","",Config_07!I4)</f>
        <v>41.866666666666667</v>
      </c>
      <c r="I15" s="22">
        <f>IF(Config_07!I7="","",Config_07!I7)</f>
        <v>5.7999999999999972</v>
      </c>
      <c r="J15" s="22" t="e">
        <f ca="1">IF(Config_07!I8="","",Config_07!I8)</f>
        <v>#NAME?</v>
      </c>
      <c r="K15" s="22">
        <f>IF(Config_07!I11="","",Config_07!I11)</f>
        <v>298.33333333333331</v>
      </c>
      <c r="L15" s="22">
        <f>IF(Config_07!I14="","",Config_07!I14)</f>
        <v>140</v>
      </c>
      <c r="M15" s="22" t="e">
        <f ca="1">IF(Config_07!I15="","",Config_07!I15)</f>
        <v>#NAME?</v>
      </c>
      <c r="N15" s="23" t="str">
        <f>IF(Config_07!I18="","",Config_07!I18)</f>
        <v/>
      </c>
      <c r="O15" s="23" t="str">
        <f>IF(Config_07!I19="","",Config_07!I19)</f>
        <v/>
      </c>
      <c r="P15" s="23" t="str">
        <f>IF(Config_07!I20="","",Config_07!I20)</f>
        <v/>
      </c>
      <c r="Q15" s="23" t="str">
        <f>IF(Config_07!I21="","",Config_07!I21)</f>
        <v/>
      </c>
      <c r="R15" s="23" t="str">
        <f>IF(Config_07!I22="","",Config_07!I22)</f>
        <v/>
      </c>
      <c r="S15" s="20" t="str">
        <f>IF(Config_07!B11="","",Config_07!B11)</f>
        <v/>
      </c>
      <c r="T15" s="20" t="str">
        <f>IF(Config_07!B12="","",Config_07!B12)</f>
        <v>20260902_GSM_HLT_DC_R02</v>
      </c>
      <c r="U15" s="20" t="str">
        <f>Config_07!D14</f>
        <v>Planned</v>
      </c>
      <c r="V15" s="20" t="str">
        <f>IF(Config_07!B14="","",Config_07!B14)</f>
        <v/>
      </c>
      <c r="W15" t="s">
        <v>149</v>
      </c>
      <c r="X15" t="str">
        <f t="shared" si="0"/>
        <v>Open</v>
      </c>
    </row>
    <row r="16" spans="1:24" ht="16">
      <c r="A16" s="20">
        <v>8</v>
      </c>
      <c r="B16" s="20" t="s">
        <v>110</v>
      </c>
      <c r="C16" s="20" t="s">
        <v>111</v>
      </c>
      <c r="D16" s="20" t="str">
        <f>IF(Config_08!B4="","",Config_08!B4)</f>
        <v/>
      </c>
      <c r="E16" s="21">
        <f>IF(Config_08!B6="","",Config_08!B6)</f>
        <v>90</v>
      </c>
      <c r="F16" s="21">
        <f>IF(Config_08!B7="","",Config_08!B7)</f>
        <v>200</v>
      </c>
      <c r="G16" s="20" t="str">
        <f>IF(Config_08!B8="","",Config_08!B8)</f>
        <v>ON</v>
      </c>
      <c r="H16" s="22">
        <f>IF(Config_08!I4="","",Config_08!I4)</f>
        <v>35.044444444444451</v>
      </c>
      <c r="I16" s="22">
        <f>IF(Config_08!I7="","",Config_08!I7)</f>
        <v>6</v>
      </c>
      <c r="J16" s="22" t="e">
        <f ca="1">IF(Config_08!I8="","",Config_08!I8)</f>
        <v>#NAME?</v>
      </c>
      <c r="K16" s="22">
        <f>IF(Config_08!I11="","",Config_08!I11)</f>
        <v>325.33333333333331</v>
      </c>
      <c r="L16" s="22">
        <f>IF(Config_08!I14="","",Config_08!I14)</f>
        <v>83</v>
      </c>
      <c r="M16" s="22" t="e">
        <f ca="1">IF(Config_08!I15="","",Config_08!I15)</f>
        <v>#NAME?</v>
      </c>
      <c r="N16" s="23" t="str">
        <f>IF(Config_08!I18="","",Config_08!I18)</f>
        <v/>
      </c>
      <c r="O16" s="23" t="str">
        <f>IF(Config_08!I19="","",Config_08!I19)</f>
        <v/>
      </c>
      <c r="P16" s="23" t="str">
        <f>IF(Config_08!I20="","",Config_08!I20)</f>
        <v/>
      </c>
      <c r="Q16" s="23" t="str">
        <f>IF(Config_08!I21="","",Config_08!I21)</f>
        <v/>
      </c>
      <c r="R16" s="23" t="str">
        <f>IF(Config_08!I22="","",Config_08!I22)</f>
        <v/>
      </c>
      <c r="S16" s="20" t="str">
        <f>IF(Config_08!B11="","",Config_08!B11)</f>
        <v/>
      </c>
      <c r="T16" s="20" t="str">
        <f>IF(Config_08!B12="","",Config_08!B12)</f>
        <v>20260902_GSM_HLT_DC_R03</v>
      </c>
      <c r="U16" s="20" t="str">
        <f>Config_08!D14</f>
        <v>Planned</v>
      </c>
      <c r="V16" s="20" t="str">
        <f>IF(Config_08!B14="","",Config_08!B14)</f>
        <v/>
      </c>
      <c r="W16" t="s">
        <v>150</v>
      </c>
      <c r="X16" t="str">
        <f t="shared" si="0"/>
        <v>Open</v>
      </c>
    </row>
    <row r="17" spans="1:24" ht="16">
      <c r="A17" s="20">
        <v>9</v>
      </c>
      <c r="B17" s="20" t="s">
        <v>113</v>
      </c>
      <c r="C17" s="20" t="s">
        <v>114</v>
      </c>
      <c r="D17" s="20" t="str">
        <f>IF(Config_09!B4="","",Config_09!B4)</f>
        <v/>
      </c>
      <c r="E17" s="21">
        <f>IF(Config_09!B6="","",Config_09!B6)</f>
        <v>30</v>
      </c>
      <c r="F17" s="21">
        <f>IF(Config_09!B7="","",Config_09!B7)</f>
        <v>120</v>
      </c>
      <c r="G17" s="20" t="str">
        <f>IF(Config_09!B8="","",Config_09!B8)</f>
        <v>ON</v>
      </c>
      <c r="H17" s="22">
        <f>IF(Config_09!I4="","",Config_09!I4)</f>
        <v>39.455555555555549</v>
      </c>
      <c r="I17" s="22">
        <f>IF(Config_09!I7="","",Config_09!I7)</f>
        <v>13.600000000000001</v>
      </c>
      <c r="J17" s="22" t="e">
        <f ca="1">IF(Config_09!I8="","",Config_09!I8)</f>
        <v>#NAME?</v>
      </c>
      <c r="K17" s="22">
        <f>IF(Config_09!I11="","",Config_09!I11)</f>
        <v>516.88888888888891</v>
      </c>
      <c r="L17" s="22">
        <f>IF(Config_09!I14="","",Config_09!I14)</f>
        <v>553</v>
      </c>
      <c r="M17" s="22" t="e">
        <f ca="1">IF(Config_09!I15="","",Config_09!I15)</f>
        <v>#NAME?</v>
      </c>
      <c r="N17" s="23" t="str">
        <f>IF(Config_09!I18="","",Config_09!I18)</f>
        <v/>
      </c>
      <c r="O17" s="23" t="str">
        <f>IF(Config_09!I19="","",Config_09!I19)</f>
        <v/>
      </c>
      <c r="P17" s="23" t="str">
        <f>IF(Config_09!I20="","",Config_09!I20)</f>
        <v/>
      </c>
      <c r="Q17" s="23" t="str">
        <f>IF(Config_09!I21="","",Config_09!I21)</f>
        <v/>
      </c>
      <c r="R17" s="23" t="str">
        <f>IF(Config_09!I22="","",Config_09!I22)</f>
        <v/>
      </c>
      <c r="S17" s="20" t="str">
        <f>IF(Config_09!B11="","",Config_09!B11)</f>
        <v/>
      </c>
      <c r="T17" s="20" t="str">
        <f>IF(Config_09!B12="","",Config_09!B12)</f>
        <v>20260902_GSM_HLT_DC_R04</v>
      </c>
      <c r="U17" s="20" t="str">
        <f>Config_09!D14</f>
        <v>Planned</v>
      </c>
      <c r="V17" s="20" t="str">
        <f>IF(Config_09!B14="","",Config_09!B14)</f>
        <v/>
      </c>
      <c r="W17" t="s">
        <v>151</v>
      </c>
      <c r="X17" t="str">
        <f t="shared" si="0"/>
        <v>Open</v>
      </c>
    </row>
    <row r="18" spans="1:24" ht="16">
      <c r="A18" s="20">
        <v>10</v>
      </c>
      <c r="B18" s="20" t="s">
        <v>116</v>
      </c>
      <c r="C18" s="20" t="s">
        <v>117</v>
      </c>
      <c r="D18" s="20" t="str">
        <f>IF(Config_10!B4="","",Config_10!B4)</f>
        <v/>
      </c>
      <c r="E18" s="21">
        <f>IF(Config_10!B6="","",Config_10!B6)</f>
        <v>0</v>
      </c>
      <c r="F18" s="21">
        <f>IF(Config_10!B7="","",Config_10!B7)</f>
        <v>0</v>
      </c>
      <c r="G18" s="20" t="str">
        <f>IF(Config_10!B8="","",Config_10!B8)</f>
        <v>ON</v>
      </c>
      <c r="H18" s="22" t="str">
        <f>IF(Config_10!I4="","",Config_10!I4)</f>
        <v/>
      </c>
      <c r="I18" s="22" t="str">
        <f>IF(Config_10!I7="","",Config_10!I7)</f>
        <v/>
      </c>
      <c r="J18" s="22" t="str">
        <f>IF(Config_10!I8="","",Config_10!I8)</f>
        <v/>
      </c>
      <c r="K18" s="22" t="str">
        <f>IF(Config_10!I11="","",Config_10!I11)</f>
        <v/>
      </c>
      <c r="L18" s="22" t="str">
        <f>IF(Config_10!I14="","",Config_10!I14)</f>
        <v/>
      </c>
      <c r="M18" s="22" t="str">
        <f>IF(Config_10!I15="","",Config_10!I15)</f>
        <v/>
      </c>
      <c r="N18" s="23" t="str">
        <f>IF(Config_10!I18="","",Config_10!I18)</f>
        <v/>
      </c>
      <c r="O18" s="23" t="str">
        <f>IF(Config_10!I19="","",Config_10!I19)</f>
        <v/>
      </c>
      <c r="P18" s="23" t="str">
        <f>IF(Config_10!I20="","",Config_10!I20)</f>
        <v/>
      </c>
      <c r="Q18" s="23" t="str">
        <f>IF(Config_10!I21="","",Config_10!I21)</f>
        <v/>
      </c>
      <c r="R18" s="23" t="str">
        <f>IF(Config_10!I22="","",Config_10!I22)</f>
        <v/>
      </c>
      <c r="S18" s="20" t="str">
        <f>IF(Config_10!B11="","",Config_10!B11)</f>
        <v/>
      </c>
      <c r="T18" s="20" t="str">
        <f>IF(Config_10!B12="","",Config_10!B12)</f>
        <v/>
      </c>
      <c r="U18" s="20" t="str">
        <f>Config_10!D14</f>
        <v>Planned</v>
      </c>
      <c r="V18" s="20" t="str">
        <f>IF(Config_10!B14="","",Config_10!B14)</f>
        <v/>
      </c>
      <c r="W18" t="s">
        <v>152</v>
      </c>
      <c r="X18" t="str">
        <f t="shared" si="0"/>
        <v/>
      </c>
    </row>
    <row r="19" spans="1:24" ht="16">
      <c r="A19" s="20">
        <v>11</v>
      </c>
      <c r="B19" s="20" t="s">
        <v>119</v>
      </c>
      <c r="C19" s="20" t="s">
        <v>120</v>
      </c>
      <c r="D19" s="20" t="str">
        <f>IF(Config_11!B4="","",Config_11!B4)</f>
        <v/>
      </c>
      <c r="E19" s="21">
        <f>IF(Config_11!B6="","",Config_11!B6)</f>
        <v>0</v>
      </c>
      <c r="F19" s="21">
        <f>IF(Config_11!B7="","",Config_11!B7)</f>
        <v>0</v>
      </c>
      <c r="G19" s="20" t="str">
        <f>IF(Config_11!B8="","",Config_11!B8)</f>
        <v>ON</v>
      </c>
      <c r="H19" s="22" t="str">
        <f>IF(Config_11!I4="","",Config_11!I4)</f>
        <v/>
      </c>
      <c r="I19" s="22" t="str">
        <f>IF(Config_11!I7="","",Config_11!I7)</f>
        <v/>
      </c>
      <c r="J19" s="22" t="str">
        <f>IF(Config_11!I8="","",Config_11!I8)</f>
        <v/>
      </c>
      <c r="K19" s="22" t="str">
        <f>IF(Config_11!I11="","",Config_11!I11)</f>
        <v/>
      </c>
      <c r="L19" s="22" t="str">
        <f>IF(Config_11!I14="","",Config_11!I14)</f>
        <v/>
      </c>
      <c r="M19" s="22" t="str">
        <f>IF(Config_11!I15="","",Config_11!I15)</f>
        <v/>
      </c>
      <c r="N19" s="23" t="str">
        <f>IF(Config_11!I18="","",Config_11!I18)</f>
        <v/>
      </c>
      <c r="O19" s="23" t="str">
        <f>IF(Config_11!I19="","",Config_11!I19)</f>
        <v/>
      </c>
      <c r="P19" s="23" t="str">
        <f>IF(Config_11!I20="","",Config_11!I20)</f>
        <v/>
      </c>
      <c r="Q19" s="23" t="str">
        <f>IF(Config_11!I21="","",Config_11!I21)</f>
        <v/>
      </c>
      <c r="R19" s="23" t="str">
        <f>IF(Config_11!I22="","",Config_11!I22)</f>
        <v/>
      </c>
      <c r="S19" s="20" t="str">
        <f>IF(Config_11!B11="","",Config_11!B11)</f>
        <v/>
      </c>
      <c r="T19" s="20" t="str">
        <f>IF(Config_11!B12="","",Config_11!B12)</f>
        <v/>
      </c>
      <c r="U19" s="20" t="str">
        <f>Config_11!D14</f>
        <v>Planned</v>
      </c>
      <c r="V19" s="20" t="str">
        <f>IF(Config_11!B14="","",Config_11!B14)</f>
        <v/>
      </c>
      <c r="W19" t="s">
        <v>153</v>
      </c>
      <c r="X19" t="str">
        <f t="shared" si="0"/>
        <v/>
      </c>
    </row>
    <row r="20" spans="1:24" ht="32">
      <c r="A20" s="20">
        <v>12</v>
      </c>
      <c r="B20" s="20" t="s">
        <v>122</v>
      </c>
      <c r="C20" s="20" t="s">
        <v>123</v>
      </c>
      <c r="D20" s="20" t="str">
        <f>IF(Config_12!B4="","",Config_12!B4)</f>
        <v/>
      </c>
      <c r="E20" s="21" t="str">
        <f>IF(Config_12!B6="","",Config_12!B6)</f>
        <v/>
      </c>
      <c r="F20" s="21" t="str">
        <f>IF(Config_12!B7="","",Config_12!B7)</f>
        <v/>
      </c>
      <c r="G20" s="20" t="str">
        <f>IF(Config_12!B8="","",Config_12!B8)</f>
        <v>OFF</v>
      </c>
      <c r="H20" s="22" t="str">
        <f>IF(Config_12!I4="","",Config_12!I4)</f>
        <v/>
      </c>
      <c r="I20" s="22" t="str">
        <f>IF(Config_12!I7="","",Config_12!I7)</f>
        <v/>
      </c>
      <c r="J20" s="22" t="str">
        <f>IF(Config_12!I8="","",Config_12!I8)</f>
        <v/>
      </c>
      <c r="K20" s="22" t="str">
        <f>IF(Config_12!I11="","",Config_12!I11)</f>
        <v/>
      </c>
      <c r="L20" s="22" t="str">
        <f>IF(Config_12!I14="","",Config_12!I14)</f>
        <v/>
      </c>
      <c r="M20" s="22" t="str">
        <f>IF(Config_12!I15="","",Config_12!I15)</f>
        <v/>
      </c>
      <c r="N20" s="23" t="str">
        <f>IF(Config_12!I18="","",Config_12!I18)</f>
        <v/>
      </c>
      <c r="O20" s="23" t="str">
        <f>IF(Config_12!I19="","",Config_12!I19)</f>
        <v/>
      </c>
      <c r="P20" s="23" t="str">
        <f>IF(Config_12!I20="","",Config_12!I20)</f>
        <v/>
      </c>
      <c r="Q20" s="23" t="str">
        <f>IF(Config_12!I21="","",Config_12!I21)</f>
        <v/>
      </c>
      <c r="R20" s="23" t="str">
        <f>IF(Config_12!I22="","",Config_12!I22)</f>
        <v/>
      </c>
      <c r="S20" s="20" t="str">
        <f>IF(Config_12!B11="","",Config_12!B11)</f>
        <v/>
      </c>
      <c r="T20" s="20" t="str">
        <f>IF(Config_12!B12="","",Config_12!B12)</f>
        <v/>
      </c>
      <c r="U20" s="20" t="str">
        <f>Config_12!D14</f>
        <v>Planned</v>
      </c>
      <c r="V20" s="20" t="str">
        <f>IF(Config_12!B14="","",Config_12!B14)</f>
        <v/>
      </c>
      <c r="W20" t="s">
        <v>154</v>
      </c>
      <c r="X20" t="str">
        <f t="shared" si="0"/>
        <v/>
      </c>
    </row>
    <row r="21" spans="1:24" ht="32">
      <c r="A21" s="20">
        <v>13</v>
      </c>
      <c r="B21" s="20" t="s">
        <v>125</v>
      </c>
      <c r="C21" s="20" t="s">
        <v>126</v>
      </c>
      <c r="D21" s="20" t="str">
        <f>IF(Config_13!B4="","",Config_13!B4)</f>
        <v/>
      </c>
      <c r="E21" s="21" t="str">
        <f>IF(Config_13!B6="","",Config_13!B6)</f>
        <v/>
      </c>
      <c r="F21" s="21" t="str">
        <f>IF(Config_13!B7="","",Config_13!B7)</f>
        <v/>
      </c>
      <c r="G21" s="20" t="str">
        <f>IF(Config_13!B8="","",Config_13!B8)</f>
        <v>OFF</v>
      </c>
      <c r="H21" s="22" t="str">
        <f>IF(Config_13!I4="","",Config_13!I4)</f>
        <v/>
      </c>
      <c r="I21" s="22" t="str">
        <f>IF(Config_13!I7="","",Config_13!I7)</f>
        <v/>
      </c>
      <c r="J21" s="22" t="str">
        <f>IF(Config_13!I8="","",Config_13!I8)</f>
        <v/>
      </c>
      <c r="K21" s="22" t="str">
        <f>IF(Config_13!I11="","",Config_13!I11)</f>
        <v/>
      </c>
      <c r="L21" s="22" t="str">
        <f>IF(Config_13!I14="","",Config_13!I14)</f>
        <v/>
      </c>
      <c r="M21" s="22" t="str">
        <f>IF(Config_13!I15="","",Config_13!I15)</f>
        <v/>
      </c>
      <c r="N21" s="23" t="str">
        <f>IF(Config_13!I18="","",Config_13!I18)</f>
        <v/>
      </c>
      <c r="O21" s="23" t="str">
        <f>IF(Config_13!I19="","",Config_13!I19)</f>
        <v/>
      </c>
      <c r="P21" s="23" t="str">
        <f>IF(Config_13!I20="","",Config_13!I20)</f>
        <v/>
      </c>
      <c r="Q21" s="23" t="str">
        <f>IF(Config_13!I21="","",Config_13!I21)</f>
        <v/>
      </c>
      <c r="R21" s="23" t="str">
        <f>IF(Config_13!I22="","",Config_13!I22)</f>
        <v/>
      </c>
      <c r="S21" s="20" t="str">
        <f>IF(Config_13!B11="","",Config_13!B11)</f>
        <v/>
      </c>
      <c r="T21" s="20" t="str">
        <f>IF(Config_13!B12="","",Config_13!B12)</f>
        <v/>
      </c>
      <c r="U21" s="20" t="str">
        <f>Config_13!D14</f>
        <v>Planned</v>
      </c>
      <c r="V21" s="20" t="str">
        <f>IF(Config_13!B14="","",Config_13!B14)</f>
        <v/>
      </c>
      <c r="W21" t="s">
        <v>155</v>
      </c>
      <c r="X21" t="str">
        <f t="shared" si="0"/>
        <v/>
      </c>
    </row>
  </sheetData>
  <mergeCells count="2">
    <mergeCell ref="A1:V1"/>
    <mergeCell ref="H3:V5"/>
  </mergeCells>
  <conditionalFormatting sqref="H9:H21">
    <cfRule type="dataBar" priority="4">
      <dataBar>
        <cfvo type="min"/>
        <cfvo type="max"/>
        <color rgb="FFE97132"/>
      </dataBar>
    </cfRule>
    <cfRule type="dataBar" priority="6">
      <dataBar>
        <cfvo type="min"/>
        <cfvo type="max"/>
        <color rgb="FFE97132"/>
      </dataBar>
      <extLst>
        <ext xmlns:x14="http://schemas.microsoft.com/office/spreadsheetml/2009/9/main" uri="{B025F937-C7B1-47D3-B67F-A62EFF666E3E}">
          <x14:id>{74327466-E964-C229-8BA0-2CF9360A3A34}</x14:id>
        </ext>
      </extLst>
    </cfRule>
  </conditionalFormatting>
  <conditionalFormatting sqref="K9:K21">
    <cfRule type="dataBar" priority="5">
      <dataBar>
        <cfvo type="min"/>
        <cfvo type="max"/>
        <color rgb="FFA02B93"/>
      </dataBar>
    </cfRule>
    <cfRule type="dataBar" priority="7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{E78DF008-D979-5BC5-01E0-E443AFA13523}</x14:id>
        </ext>
      </extLst>
    </cfRule>
  </conditionalFormatting>
  <conditionalFormatting sqref="U9:U21">
    <cfRule type="expression" dxfId="2" priority="1">
      <formula>U9="Complete"</formula>
    </cfRule>
    <cfRule type="expression" dxfId="1" priority="2">
      <formula>U9="Recheck"</formula>
    </cfRule>
    <cfRule type="expression" dxfId="0" priority="3">
      <formula>U9="In Progress"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327466-E964-C229-8BA0-2CF9360A3A34}">
            <x14:dataBar>
              <x14:cfvo type="min"/>
              <x14:cfvo type="max"/>
              <x14:negativeFillColor auto="1"/>
              <x14:axisColor auto="1"/>
            </x14:dataBar>
          </x14:cfRule>
          <xm:sqref>H9:H21</xm:sqref>
        </x14:conditionalFormatting>
        <x14:conditionalFormatting xmlns:xm="http://schemas.microsoft.com/office/excel/2006/main">
          <x14:cfRule type="dataBar" id="{E78DF008-D979-5BC5-01E0-E443AFA13523}">
            <x14:dataBar>
              <x14:cfvo type="min"/>
              <x14:cfvo type="max"/>
              <x14:negativeFillColor auto="1"/>
              <x14:axisColor auto="1"/>
            </x14:dataBar>
          </x14:cfRule>
          <xm:sqref>K9:K21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Setup</vt:lpstr>
      <vt:lpstr>Lists</vt:lpstr>
      <vt:lpstr>Config_01</vt:lpstr>
      <vt:lpstr>Config_02</vt:lpstr>
      <vt:lpstr>Config_03</vt:lpstr>
      <vt:lpstr>Config_04</vt:lpstr>
      <vt:lpstr>Config_05</vt:lpstr>
      <vt:lpstr>Config_06</vt:lpstr>
      <vt:lpstr>Config_07</vt:lpstr>
      <vt:lpstr>Config_08</vt:lpstr>
      <vt:lpstr>Config_09</vt:lpstr>
      <vt:lpstr>Config_10</vt:lpstr>
      <vt:lpstr>Config_11</vt:lpstr>
      <vt:lpstr>Config_12</vt:lpstr>
      <vt:lpstr>Config_13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Langeveldt</cp:lastModifiedBy>
  <dcterms:modified xsi:type="dcterms:W3CDTF">2026-09-02T12:02:27Z</dcterms:modified>
</cp:coreProperties>
</file>
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lngjam012_myuct_ac_za/Documents/2026/S/EEE4022S/PV Impedance Project/Master Log/"/>
    </mc:Choice>
  </mc:AlternateContent>
  <xr:revisionPtr revIDLastSave="2171" documentId="8_{B0843A2A-59E4-3943-BE40-F2F006E1C80D}" xr6:coauthVersionLast="47" xr6:coauthVersionMax="47" xr10:uidLastSave="{32E411B2-38A3-374B-A698-137AA59AAE14}"/>
  <bookViews>
    <workbookView xWindow="0" yWindow="600" windowWidth="28160" windowHeight="15220" xr2:uid="{00000000-000D-0000-FFFF-FFFF00000000}"/>
  </bookViews>
  <sheets>
    <sheet name="Run Log" sheetId="1" r:id="rId1"/>
    <sheet name="Field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6" i="1" l="1"/>
  <c r="Y145" i="1"/>
  <c r="Y144" i="1"/>
  <c r="Y143" i="1"/>
  <c r="Y142" i="1"/>
  <c r="Y141" i="1" l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 l="1"/>
  <c r="Y66" i="1"/>
  <c r="Y65" i="1"/>
  <c r="Y64" i="1"/>
  <c r="Y63" i="1"/>
  <c r="Y62" i="1"/>
  <c r="Y61" i="1"/>
  <c r="Y60" i="1"/>
  <c r="Y49" i="1" l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<sst xmlns="http://schemas.openxmlformats.org/spreadsheetml/2006/main" count="1130" uniqueCount="443">
  <si>
    <t>Run ID</t>
  </si>
  <si>
    <t>Date</t>
  </si>
  <si>
    <t>Start Time</t>
  </si>
  <si>
    <t>Pair</t>
  </si>
  <si>
    <t>Test Stage</t>
  </si>
  <si>
    <t>Specimen</t>
  </si>
  <si>
    <t>Control Mode</t>
  </si>
  <si>
    <t>Condition</t>
  </si>
  <si>
    <t>Operating Point</t>
  </si>
  <si>
    <t>Environment ID</t>
  </si>
  <si>
    <t>Environment File</t>
  </si>
  <si>
    <t>Target Panel DC V (V)</t>
  </si>
  <si>
    <t>Target Panel DC I (A)</t>
  </si>
  <si>
    <t>Nova Apply V (V)</t>
  </si>
  <si>
    <t>Nova Apply I (A)</t>
  </si>
  <si>
    <t>Actual Settled DC V (V)</t>
  </si>
  <si>
    <t>Actual Settled DC I (A)</t>
  </si>
  <si>
    <t>AC Amplitude</t>
  </si>
  <si>
    <t>AC Unit</t>
  </si>
  <si>
    <t>Start Freq (Hz)</t>
  </si>
  <si>
    <t>Stop Freq (Hz)</t>
  </si>
  <si>
    <t>Points/Decade</t>
  </si>
  <si>
    <t>Voc (V)</t>
  </si>
  <si>
    <t>Isc (A)</t>
  </si>
  <si>
    <t>Vmp (V)</t>
  </si>
  <si>
    <t>Imp (A)</t>
  </si>
  <si>
    <t>Pmp (W)</t>
  </si>
  <si>
    <t>Mean |K-K Error Z'| (%)</t>
  </si>
  <si>
    <t>Rs (Ω)</t>
  </si>
  <si>
    <t>Rp / Rct (Ω)</t>
  </si>
  <si>
    <t>CPE Y0</t>
  </si>
  <si>
    <t>CPE n</t>
  </si>
  <si>
    <t>Status</t>
  </si>
  <si>
    <t>Circuit Fit Source</t>
  </si>
  <si>
    <t>Data File Name</t>
  </si>
  <si>
    <t>Notes</t>
  </si>
  <si>
    <t>20260818-001</t>
  </si>
  <si>
    <t>2026-08-18</t>
  </si>
  <si>
    <t>Dummy FRA</t>
  </si>
  <si>
    <t>Dummy Cell</t>
  </si>
  <si>
    <t>Potentiostatic</t>
  </si>
  <si>
    <t>Instrument verification</t>
  </si>
  <si>
    <t>Dummy network</t>
  </si>
  <si>
    <t>CHECK</t>
  </si>
  <si>
    <t>Not captured</t>
  </si>
  <si>
    <t>260818_DUMMY_HLT_REF_OPA_FRA_POT_R01.xlsx</t>
  </si>
  <si>
    <t>Day 1 dummy verification. Raw impedance points exported; circuit-fit and K-K summary were not captured.</t>
  </si>
  <si>
    <t>20260818-002</t>
  </si>
  <si>
    <t>Pair 1</t>
  </si>
  <si>
    <t>DC I-V Curve</t>
  </si>
  <si>
    <t>GSM80W</t>
  </si>
  <si>
    <t>DC Characterisation</t>
  </si>
  <si>
    <t>Healthy</t>
  </si>
  <si>
    <t>Pre-condition I-V</t>
  </si>
  <si>
    <t>20260818-E01</t>
  </si>
  <si>
    <t>20260818_Day01_Environment.xlsx</t>
  </si>
  <si>
    <t>ACCEPT</t>
  </si>
  <si>
    <t>N/A</t>
  </si>
  <si>
    <t>260818_GSM_HLT_REF_OPA_IV_R01.xlsx</t>
  </si>
  <si>
    <t>Approximate Voc: sweep ended at 21.597 V with current ≈7 mA, so it was very close to open circuit. P-V export: 260818_GSM_HLT_REF_OPA_PV_R01.xlsx.</t>
  </si>
  <si>
    <t>20260818-003</t>
  </si>
  <si>
    <t>POT FRA</t>
  </si>
  <si>
    <t>OPA – near Voc</t>
  </si>
  <si>
    <t>mV RMS</t>
  </si>
  <si>
    <t>Nova screenshot</t>
  </si>
  <si>
    <t>260818_GSM_HLT_REF_OPA_FRA_POT_R01.xlsx</t>
  </si>
  <si>
    <t>Actual settled DC V/I not recorded. POT/GAL Pair 1 used different frequency windows. CPE Y0 differs strongly from GAL R01; investigate before quantitative use.</t>
  </si>
  <si>
    <t>20260818-004</t>
  </si>
  <si>
    <t>GAL FRA</t>
  </si>
  <si>
    <t>Galvanostatic</t>
  </si>
  <si>
    <t>mA RMS</t>
  </si>
  <si>
    <t>260818_GSM_HLT_REF_OPA_FRA_GAL_R01.xlsx</t>
  </si>
  <si>
    <t>Actual settled DC V/I not recorded. Frequency window differs from POT R01. CPE Y0 differs strongly from POT R01; investigate before quantitative use.</t>
  </si>
  <si>
    <t>20260818-005</t>
  </si>
  <si>
    <t>Pair 2</t>
  </si>
  <si>
    <t>Mid-condition I-V</t>
  </si>
  <si>
    <t>20260818-E02</t>
  </si>
  <si>
    <t>260818_GSM_HLT_REF_OPA_IV_R02.xlsx</t>
  </si>
  <si>
    <t>Sweep did not reach open circuit: final point was 21.600 V while current was still ≈0.1695 A, so Voc is intentionally blank. P-V export: 260818_GSM_HLT_REF_OPA_PV_R02.xlsx.</t>
  </si>
  <si>
    <t>20260818-006</t>
  </si>
  <si>
    <t>260818_GSM_HLT_REF_OPA_FRA_POT_R02.xlsx</t>
  </si>
  <si>
    <t>Actual settled DC V/I not recorded. Pair 2 fit parameters agree closely with GAL R02, but Day 1 frequency windows were different; match them from Day 2 onward.</t>
  </si>
  <si>
    <t>20260818-007</t>
  </si>
  <si>
    <t>260818_GSM_HLT_REF_OPA_FRA_GAL_R02.xlsx</t>
  </si>
  <si>
    <t>Actual settled DC V/I not recorded. Pair 2 fit parameters agree closely with POT R02, but Day 1 frequency windows were different; match them from Day 2 onward.</t>
  </si>
  <si>
    <t>Field</t>
  </si>
  <si>
    <t>Meaning</t>
  </si>
  <si>
    <t>How to use it</t>
  </si>
  <si>
    <t>Example</t>
  </si>
  <si>
    <t>Unique ID for every instrument measurement.</t>
  </si>
  <si>
    <t>Never reuse an ID. IDs are date-based and restart at 001 each lab day.</t>
  </si>
  <si>
    <t>20260819-004</t>
  </si>
  <si>
    <t>Links a run to the separate daily environment workbook.</t>
  </si>
  <si>
    <t>Use one Environment ID for all runs represented by that 3×3 temperature/irradiance snapshot.</t>
  </si>
  <si>
    <t>Daily workbook containing raw temperature/irradiance data.</t>
  </si>
  <si>
    <t>The master log stores only the reference, not the environmental measurements themselves.</t>
  </si>
  <si>
    <t>Target Panel DC V / I</t>
  </si>
  <si>
    <t>Physical operating point you intend to reach.</t>
  </si>
  <si>
    <t>For POT, voltage is controlled; for GAL, current is controlled. The second target can describe the intended matched point.</t>
  </si>
  <si>
    <t>21.6 V, 0 A</t>
  </si>
  <si>
    <t>Nova Apply V / I</t>
  </si>
  <si>
    <t>Exact value typed into Nova's Apply block.</t>
  </si>
  <si>
    <t>Voltage is divided by 10 because of the multiplier. Current is not scaled.</t>
  </si>
  <si>
    <t>21.6 V target → 2.16 V in Nova</t>
  </si>
  <si>
    <t>Actual Settled DC V / I</t>
  </si>
  <si>
    <t>Where the panel actually settles before the FRA sweep.</t>
  </si>
  <si>
    <t>Record both values after Cell On + Wait. Use these to confirm POT and GAL truly tested the same state.</t>
  </si>
  <si>
    <t>21.58 V, 0.012 A</t>
  </si>
  <si>
    <t>Where fitted parameters came from.</t>
  </si>
  <si>
    <t>Prefer direct Nova export; otherwise record screenshot/manual transcription.</t>
  </si>
  <si>
    <t>Day 1 filenames</t>
  </si>
  <si>
    <t>Existing Day 1 raw files are kept as recorded.</t>
  </si>
  <si>
    <t>Do not rename raw data just to match the new convention; use YYYYMMDD for all new files from Day 2 onward.</t>
  </si>
  <si>
    <t>260818_... retained; 20260819_... going forward</t>
  </si>
  <si>
    <t>Dropdown fields</t>
  </si>
  <si>
    <t>Common categorical fields in the Run Log use dropdowns.</t>
  </si>
  <si>
    <t>Pair, Test Stage, Specimen, Control Mode, Condition, Operating Point, AC Unit, Status and Circuit Fit Source.</t>
  </si>
  <si>
    <t>You can select these instead of retyping them.</t>
  </si>
  <si>
    <t>20260819-001</t>
  </si>
  <si>
    <t>20260819-E01</t>
  </si>
  <si>
    <t>20260819_Day02_Environment.xlsx</t>
  </si>
  <si>
    <t>20260819-002</t>
  </si>
  <si>
    <t>Centre Temp Before FRA (°C)</t>
  </si>
  <si>
    <t>Centre Temp After FRA (°C)</t>
  </si>
  <si>
    <t>ΔT During FRA (°C)</t>
  </si>
  <si>
    <t>20260819-003</t>
  </si>
  <si>
    <t>20260819-005</t>
  </si>
  <si>
    <t>20260819-006</t>
  </si>
  <si>
    <t>20260819-007</t>
  </si>
  <si>
    <t>20260819_GSM_HLT_DC</t>
  </si>
  <si>
    <t>20260820-001</t>
  </si>
  <si>
    <t>20260820-E01</t>
  </si>
  <si>
    <t>20260820_Day03_Environment.xlsx</t>
  </si>
  <si>
    <t>20260820-002</t>
  </si>
  <si>
    <t>20260820-003</t>
  </si>
  <si>
    <t>20260820-004</t>
  </si>
  <si>
    <t>20260820-005</t>
  </si>
  <si>
    <t>20260820-006</t>
  </si>
  <si>
    <t>20260820-007</t>
  </si>
  <si>
    <t>20260820-008</t>
  </si>
  <si>
    <t>20260820-009</t>
  </si>
  <si>
    <t>20260820-E02</t>
  </si>
  <si>
    <t>20260820_GSM_HLT_DC_R01</t>
  </si>
  <si>
    <t>20260820_GSM_HLT_DC_R02</t>
  </si>
  <si>
    <t>20260820_GSM_HLT_DC_R03</t>
  </si>
  <si>
    <t>20260820_GSM_HLT_FRA_POT_OPA_R01</t>
  </si>
  <si>
    <t>20260820_GSM_HLT_FRA_POT_OPA_R02</t>
  </si>
  <si>
    <t>20260820_GSM_HLT_FRA_POT_OPA_R03</t>
  </si>
  <si>
    <t>20260820_GSM_HLT_FRA_POT_OPA_R04</t>
  </si>
  <si>
    <t>20260820_GSM_HLT_FRA_POT_OPA_R05</t>
  </si>
  <si>
    <t>20260820_GSM_HLT_FRA_POT_OPA_R06</t>
  </si>
  <si>
    <t>Nova export</t>
  </si>
  <si>
    <t>20260820-010</t>
  </si>
  <si>
    <t>20260820-011</t>
  </si>
  <si>
    <t>20260821-001</t>
  </si>
  <si>
    <t>20260821-002</t>
  </si>
  <si>
    <t>20260821-003</t>
  </si>
  <si>
    <t>20260821-004</t>
  </si>
  <si>
    <t>20260821-005</t>
  </si>
  <si>
    <t>20260821-006</t>
  </si>
  <si>
    <t>20260821-007</t>
  </si>
  <si>
    <t>20260821-008</t>
  </si>
  <si>
    <t>20260821-009</t>
  </si>
  <si>
    <t>OPB - 0,9*Voc</t>
  </si>
  <si>
    <t>OPC – Vmp</t>
  </si>
  <si>
    <t>OPD – high-current</t>
  </si>
  <si>
    <t>20260821-E01</t>
  </si>
  <si>
    <t>20260821_Day04_Environment.xlsx</t>
  </si>
  <si>
    <t>20260821_GSM_HLT_DC_R01</t>
  </si>
  <si>
    <t>20260821_GSM_HLT_FRA_POT_OPA_R01</t>
  </si>
  <si>
    <t>20260821_GSM_HLT_FRA_GAL_OPA_R01</t>
  </si>
  <si>
    <t>20260821_GSM_HLT_FRA_POT_OPB_R01</t>
  </si>
  <si>
    <t>20260821_GSM_HLT_FRA_GAL_OPB_R01</t>
  </si>
  <si>
    <t>20260821_GSM_HLT_FRA_POT_OPC_R01</t>
  </si>
  <si>
    <t>20260821_GSM_HLT_FRA_GAL_OPC_R01</t>
  </si>
  <si>
    <t>20260821_GSM_HLT_FRA_POT_OPD_R01</t>
  </si>
  <si>
    <t>20260821_GSM_HLT_FRA_GAL_OPD_R01</t>
  </si>
  <si>
    <t>20260826-001</t>
  </si>
  <si>
    <t>20260826_Day05_Environment.xlsx</t>
  </si>
  <si>
    <t>20260826-002</t>
  </si>
  <si>
    <t>20260826-003</t>
  </si>
  <si>
    <t>20260826-004</t>
  </si>
  <si>
    <t>20260826-005</t>
  </si>
  <si>
    <t>20260826-006</t>
  </si>
  <si>
    <t>20260826-007</t>
  </si>
  <si>
    <t>20260826-008</t>
  </si>
  <si>
    <t>20260826-009</t>
  </si>
  <si>
    <t>20260826-010</t>
  </si>
  <si>
    <t>20260826-011</t>
  </si>
  <si>
    <t>20260826-012</t>
  </si>
  <si>
    <t>20260826-013</t>
  </si>
  <si>
    <t>20260826-014</t>
  </si>
  <si>
    <t>20260826-E01</t>
  </si>
  <si>
    <t>20260826_GSM_HLT_DC_R01</t>
  </si>
  <si>
    <t>20260826_GSM_HLT_DC_R02</t>
  </si>
  <si>
    <t>20260826_GSM_HLT_FRA_POT_OPA_R01</t>
  </si>
  <si>
    <t>20260826_GSM_HLT_FRA_GAL_OPA_R01</t>
  </si>
  <si>
    <t>20260826_GSM_HLT_FRA_POT_OPB_R01</t>
  </si>
  <si>
    <t>20260826_GSM_HLT_FRA_POT_OPB_R02</t>
  </si>
  <si>
    <t>20260826_GSM_HLT_FRA_POT_OPB_R04</t>
  </si>
  <si>
    <t>20260826_GSM_HLT_FRA_POT_OPB_R03</t>
  </si>
  <si>
    <t>20260826_GSM_HLT_FRA_GAL_OPB_R01</t>
  </si>
  <si>
    <t>20260826_GSM_HLT_FRA_GAL_OPB_R02</t>
  </si>
  <si>
    <t>20260826_GSM_HLT_FRA_GAL_OPB_R03</t>
  </si>
  <si>
    <t>20260826_GSM_HLT_FRA_GAL_OPB_R04</t>
  </si>
  <si>
    <t>20260826_GSM_HLT_FRA_POT_OPC_R01</t>
  </si>
  <si>
    <t>20260826_GSM_HLT_FRA_POT_OPC_R02</t>
  </si>
  <si>
    <t>20260909-001</t>
  </si>
  <si>
    <t>20260909_Day08_Environment.xlsx</t>
  </si>
  <si>
    <t>20260909_GSM_HLT_DC_R01</t>
  </si>
  <si>
    <t>20260909_GSM_HLT_FRA_POT_OPB_R01</t>
  </si>
  <si>
    <t>OPB - 0.9*Voc</t>
  </si>
  <si>
    <t>20260909-002</t>
  </si>
  <si>
    <t>20260909-003</t>
  </si>
  <si>
    <t>OPC - 20 V</t>
  </si>
  <si>
    <t>20260909-E01</t>
  </si>
  <si>
    <t>20260909-004</t>
  </si>
  <si>
    <t>20260909-005</t>
  </si>
  <si>
    <t>20260909-006</t>
  </si>
  <si>
    <t>20260909-E02</t>
  </si>
  <si>
    <t>20260909_GSM_HLT_DC_R02</t>
  </si>
  <si>
    <t>20260909_GSM_HLT_FRA_POT_OPB_R02</t>
  </si>
  <si>
    <t>OPB</t>
  </si>
  <si>
    <t>OPC</t>
  </si>
  <si>
    <t>Pair 3</t>
  </si>
  <si>
    <t>OPF</t>
  </si>
  <si>
    <t>20260909-013</t>
  </si>
  <si>
    <t>20260909-014</t>
  </si>
  <si>
    <t>20260909-E03</t>
  </si>
  <si>
    <t>20260909-E04</t>
  </si>
  <si>
    <t>20260909-E05</t>
  </si>
  <si>
    <t>20260909-E06</t>
  </si>
  <si>
    <t>20260909_GSM_HLT_DC_R03</t>
  </si>
  <si>
    <t>20260909_GSM_HLT_FRA_POT_OPB_R03</t>
  </si>
  <si>
    <t>20260909_GSM_HLT_FRA_POT_OPB_R04</t>
  </si>
  <si>
    <t>20260909_GSM_HLT_DC_R04</t>
  </si>
  <si>
    <t>20260909_GSM_HLT_DC_R05</t>
  </si>
  <si>
    <t>20260909_GSM_HLT_DC_R06</t>
  </si>
  <si>
    <t>20260909_GSM_HLT_FRA_POT_OPB_R05</t>
  </si>
  <si>
    <t>20260909_GSM_HLT_FRA_POT_OPB_R06</t>
  </si>
  <si>
    <t>20260909-007</t>
  </si>
  <si>
    <t>20260909-008</t>
  </si>
  <si>
    <t>20260909-009</t>
  </si>
  <si>
    <t>20260909-010</t>
  </si>
  <si>
    <t>20260909-011</t>
  </si>
  <si>
    <t>20260909-012</t>
  </si>
  <si>
    <t>20260909-015</t>
  </si>
  <si>
    <t>20260909-016</t>
  </si>
  <si>
    <t>20260909-017</t>
  </si>
  <si>
    <t>20260909-018</t>
  </si>
  <si>
    <t>20260910-001</t>
  </si>
  <si>
    <t>20260910-E01</t>
  </si>
  <si>
    <t>20260910_GSM_HLT_DC_R01</t>
  </si>
  <si>
    <t>20260909_GSM_HLT_FRA_POT_OPF_R01</t>
  </si>
  <si>
    <t>20260909_GSM_HLT_FRA_POT_OPF_R02</t>
  </si>
  <si>
    <t>20260909_GSM_HLT_FRA_POT_OPF_R03</t>
  </si>
  <si>
    <t>20260909_GSM_HLT_FRA_POT_OPF_R04</t>
  </si>
  <si>
    <t>20260909_GSM_HLT_FRA_POT_OPF_R05</t>
  </si>
  <si>
    <t>20260909_GSM_HLT_FRA_POT_OPF_R06</t>
  </si>
  <si>
    <t>20260910_GSM_HLT_DC_R03</t>
  </si>
  <si>
    <t>20260910_GSM_HLT_DC_R02</t>
  </si>
  <si>
    <t>20260910_GSM_HLT_FRA_POT_OPB_R01</t>
  </si>
  <si>
    <t>20260910_GSM_HLT_FRA_POT_OPF_R01</t>
  </si>
  <si>
    <t>20260910_GSM_HLT_FRA_POT_OPB_R02</t>
  </si>
  <si>
    <t>20260910_GSM_HLT_FRA_POT_OPF_R02</t>
  </si>
  <si>
    <t>20260910_GSM_HLT_FRA_POT_OPB_R03</t>
  </si>
  <si>
    <t>20260910_GSM_HLT_FRA_POT_OPF_R03</t>
  </si>
  <si>
    <t>20260914-001</t>
  </si>
  <si>
    <t>20260910-002</t>
  </si>
  <si>
    <t>20260910-003</t>
  </si>
  <si>
    <t>20260910-004</t>
  </si>
  <si>
    <t>20260910-005</t>
  </si>
  <si>
    <t>20260910-006</t>
  </si>
  <si>
    <t>20260910-007</t>
  </si>
  <si>
    <t>20260910-008</t>
  </si>
  <si>
    <t>20260910-009</t>
  </si>
  <si>
    <t>20260914-002</t>
  </si>
  <si>
    <t>20260914-003</t>
  </si>
  <si>
    <t>20260914-004</t>
  </si>
  <si>
    <t>20260914-005</t>
  </si>
  <si>
    <t>20260914-006</t>
  </si>
  <si>
    <t>20260914_GSM_HLT_DC_R01</t>
  </si>
  <si>
    <t>20260910-E02</t>
  </si>
  <si>
    <t>20260910-E03</t>
  </si>
  <si>
    <t>20260914_GSM_HLT_FRA_POT_OPX70_R01</t>
  </si>
  <si>
    <t>20260914_GSM_HLT_FRA_POT_OPX30_R02</t>
  </si>
  <si>
    <t>20260914_GSM_HLT_DC_R02</t>
  </si>
  <si>
    <t>20260914_GSM_HLT_DC_R03</t>
  </si>
  <si>
    <t>20260914-E01</t>
  </si>
  <si>
    <t>20260914-E02</t>
  </si>
  <si>
    <t>20260914-E03</t>
  </si>
  <si>
    <t>20260916-001</t>
  </si>
  <si>
    <t>20260916-E01</t>
  </si>
  <si>
    <t>20260916_Day12_Environment.xlsx</t>
  </si>
  <si>
    <t>20260916-002</t>
  </si>
  <si>
    <t>20260916-003</t>
  </si>
  <si>
    <t>20260916-004</t>
  </si>
  <si>
    <t>20260916_GSM_HLT_DC_R01</t>
  </si>
  <si>
    <t>20260916_GSM_HLT_FRA_OPX70_R01</t>
  </si>
  <si>
    <t>20260916_GSM_PS50_DC_R01</t>
  </si>
  <si>
    <t>20260916_GSM_PS50_FRA_OPX70_R01</t>
  </si>
  <si>
    <t>Partial shading</t>
  </si>
  <si>
    <t>20260914_GSM_HLT_FRA_POT_OPX70_R03</t>
  </si>
  <si>
    <t>20260922-001</t>
  </si>
  <si>
    <t>20260922-E01</t>
  </si>
  <si>
    <t>20260922_Day13_Environment.xlsx</t>
  </si>
  <si>
    <t>20260922_GSM_HLT_DC_R01</t>
  </si>
  <si>
    <t>20260922_GSM_HLT_FRA_POT_OPC_R01</t>
  </si>
  <si>
    <t>20260922_GSM_HLT_FRA_POT_OPX70_R01</t>
  </si>
  <si>
    <t>20260922_GSM_PS50_52_DC_R01</t>
  </si>
  <si>
    <t>20260922_GSM_PS50_52_FRA_POT_OPC_R01</t>
  </si>
  <si>
    <t>20260922_GSM_PS50_52_FRA_POT_OPX70_R01</t>
  </si>
  <si>
    <t>20260922_GSM_HLT_DC_R02</t>
  </si>
  <si>
    <t>20260922_GSM_HLT_FRA_POT_OPX70_R02</t>
  </si>
  <si>
    <t>20260922_GSM_PS50_52_DC_R02</t>
  </si>
  <si>
    <t>20260922_GSM_PS50_52_FRA_POT_OPX70_R02</t>
  </si>
  <si>
    <t>20260922-E02</t>
  </si>
  <si>
    <t>20260922_GSM_HLT_DC_R03</t>
  </si>
  <si>
    <t>20260922_GSM_HLT_FRA_POT_OPX70_R03</t>
  </si>
  <si>
    <t>20260922_GSM_PS50_42_DC_R01</t>
  </si>
  <si>
    <t>20260922_GSM_PS50_42_FRA_POT_OPX70_R01</t>
  </si>
  <si>
    <t>20260922-E03</t>
  </si>
  <si>
    <t>20260922_GSM_PS50_41_DC_R01</t>
  </si>
  <si>
    <t>20260922_GSM_PS50_41_FRA_POT_OPX70_R01</t>
  </si>
  <si>
    <t>20260922_GSM_PS50_42_DC_R02</t>
  </si>
  <si>
    <t>20260922_GSM_PS50_42_FRA_POT_OPX70_R02</t>
  </si>
  <si>
    <t>20260922_GSM_PS50_41_DC_R02</t>
  </si>
  <si>
    <t>20260922_GSM_PS50_41_FRA_POT_OPX70_R02</t>
  </si>
  <si>
    <t>20260922-002</t>
  </si>
  <si>
    <t>20260922-003</t>
  </si>
  <si>
    <t>20260922-004</t>
  </si>
  <si>
    <t>20260922-005</t>
  </si>
  <si>
    <t>20260922-006</t>
  </si>
  <si>
    <t>20260922-007</t>
  </si>
  <si>
    <t>20260922-008</t>
  </si>
  <si>
    <t>20260922-009</t>
  </si>
  <si>
    <t>20260922-010</t>
  </si>
  <si>
    <t>20260922-011</t>
  </si>
  <si>
    <t>20260922-012</t>
  </si>
  <si>
    <t>20260922-013</t>
  </si>
  <si>
    <t>20260922-014</t>
  </si>
  <si>
    <t>20260922-015</t>
  </si>
  <si>
    <t>20260922-016</t>
  </si>
  <si>
    <t>20260922-017</t>
  </si>
  <si>
    <t>20260922-018</t>
  </si>
  <si>
    <t>20260922-019</t>
  </si>
  <si>
    <t>20260922-020</t>
  </si>
  <si>
    <t>20260923-001</t>
  </si>
  <si>
    <t>20260923-E01</t>
  </si>
  <si>
    <t>20260923_Day14_Environment.xlsx</t>
  </si>
  <si>
    <t>20260923_GSM_HLT_DC_R01</t>
  </si>
  <si>
    <t>20260923_GSM_HLT_FRA_POT_OPX70_R01</t>
  </si>
  <si>
    <t>20260923_GSM_PS50_TOP50_DC_R01</t>
  </si>
  <si>
    <t>20260923_GSM_PS50_TOP50_FRA_POT_OPX70_R01</t>
  </si>
  <si>
    <t>20260923_GSM_PS50_BOT50_DC_R01</t>
  </si>
  <si>
    <t>20260923_GSM_PS50_BOT50_FRA_POT_OPX70_R01</t>
  </si>
  <si>
    <t>20260923_GSM_PS50_MID50_FRA_POT_OPX70_R01</t>
  </si>
  <si>
    <t>20260923_GSM_PS50_MID50_DC_R01</t>
  </si>
  <si>
    <t>20260923-E02</t>
  </si>
  <si>
    <t>20260923_GSM_HLT_DC_R02</t>
  </si>
  <si>
    <t>20260923_GSM_HLT_FRA_POT_OPX70_R02</t>
  </si>
  <si>
    <t>20260923_GSM_PS50_MID50_DC_R02</t>
  </si>
  <si>
    <t>20260923_GSM_PS50_MID50_FRA_POT_OPX70_R02</t>
  </si>
  <si>
    <t>20260923_GSM_PS50_BOT50_DC_R02</t>
  </si>
  <si>
    <t>20260923_GSM_PS50_BOT50_FRA_POT_OPX70_R02</t>
  </si>
  <si>
    <t>20260923_GSM_PS50_TOP50_DC_R02</t>
  </si>
  <si>
    <t>20260923_GSM_PS50_TOP50_FRA_POT_OPX70_R02</t>
  </si>
  <si>
    <t>20260923-002</t>
  </si>
  <si>
    <t>20260923-003</t>
  </si>
  <si>
    <t>20260923-004</t>
  </si>
  <si>
    <t>20260923-005</t>
  </si>
  <si>
    <t>20260923-006</t>
  </si>
  <si>
    <t>20260923-007</t>
  </si>
  <si>
    <t>20260923-008</t>
  </si>
  <si>
    <t>20260923-009</t>
  </si>
  <si>
    <t>20260923-010</t>
  </si>
  <si>
    <t>20260923-011</t>
  </si>
  <si>
    <t>20260923-012</t>
  </si>
  <si>
    <t>20260923-013</t>
  </si>
  <si>
    <t>20260923-014</t>
  </si>
  <si>
    <t>20260923-015</t>
  </si>
  <si>
    <t>20260923-016</t>
  </si>
  <si>
    <t>20260928-001</t>
  </si>
  <si>
    <t>20260928-E01</t>
  </si>
  <si>
    <t>20260928_Day15_Environment.xlsx</t>
  </si>
  <si>
    <t>20260928_GSM_HLT_DC_R01</t>
  </si>
  <si>
    <t>20260928_GSM_HLT_FRA_POT_OPX70_R01</t>
  </si>
  <si>
    <t>20260928_GSM_PS25_DC_R01</t>
  </si>
  <si>
    <t>20260928_GSM_PS25_FRA_POT_OPX70_R01</t>
  </si>
  <si>
    <t>20260928_GSM_PS50_DC_R01</t>
  </si>
  <si>
    <t>20260928_GSM_PS75_DC_R01</t>
  </si>
  <si>
    <t>20260928_GSM_PS100_DC_R01</t>
  </si>
  <si>
    <t>20260928_GSM_PS50_FRA_POT_OPX70_R01</t>
  </si>
  <si>
    <t>20260928_GSM_PS75_FRA_POT_OPX70_R01</t>
  </si>
  <si>
    <t>20260928_GSM_PS100_FRA_POT_OPX70_R01</t>
  </si>
  <si>
    <t>20260928-E02</t>
  </si>
  <si>
    <t>20260928_GSM_HLT_DC_R02</t>
  </si>
  <si>
    <t>20260928_GSM_PS25_DC_R02</t>
  </si>
  <si>
    <t>20260928_GSM_PS50_DC_R02</t>
  </si>
  <si>
    <t>20260928_GSM_PS75_DC_R02</t>
  </si>
  <si>
    <t>20260928_GSM_PS100_DC_R02</t>
  </si>
  <si>
    <t>20260928_GSM_HLT_FRA_POT_OPX70_R02</t>
  </si>
  <si>
    <t>20260928_GSM_PS25_FRA_POT_OPX70_R02</t>
  </si>
  <si>
    <t>20260928_GSM_PS50_FRA_POT_OPX70_R02</t>
  </si>
  <si>
    <t>20260928_GSM_PS75_FRA_POT_OPX70_R02</t>
  </si>
  <si>
    <t>20260928-002</t>
  </si>
  <si>
    <t>20260928-003</t>
  </si>
  <si>
    <t>20260928-004</t>
  </si>
  <si>
    <t>20260928-005</t>
  </si>
  <si>
    <t>20260928-006</t>
  </si>
  <si>
    <t>20260928-007</t>
  </si>
  <si>
    <t>20260928-008</t>
  </si>
  <si>
    <t>20260928-009</t>
  </si>
  <si>
    <t>20260928-010</t>
  </si>
  <si>
    <t>20260928-011</t>
  </si>
  <si>
    <t>20260928-012</t>
  </si>
  <si>
    <t>20260928-013</t>
  </si>
  <si>
    <t>20260928-014</t>
  </si>
  <si>
    <t>20260928-015</t>
  </si>
  <si>
    <t>20260928-016</t>
  </si>
  <si>
    <t>20260928-017</t>
  </si>
  <si>
    <t>20260928-018</t>
  </si>
  <si>
    <t>20260928-019</t>
  </si>
  <si>
    <t>20261002-001</t>
  </si>
  <si>
    <t>20260929-001</t>
  </si>
  <si>
    <t>20260929-E01</t>
  </si>
  <si>
    <t>20260929_Day16_Environment.xlsx</t>
  </si>
  <si>
    <t>All files taken on Day 16 use this environment</t>
  </si>
  <si>
    <t>All files taken on Day 17 use this environment</t>
  </si>
  <si>
    <t>All files taken on Day 18 use this environment</t>
  </si>
  <si>
    <t>20261006-001</t>
  </si>
  <si>
    <t>20261002-E01</t>
  </si>
  <si>
    <t>20261006-E01</t>
  </si>
  <si>
    <t>20261006_Day18_Environment.xlsx</t>
  </si>
  <si>
    <t>20261002_Day17_Environment.xlsx</t>
  </si>
  <si>
    <t>20261008-001</t>
  </si>
  <si>
    <t>20261009-001</t>
  </si>
  <si>
    <t>20261008-E01</t>
  </si>
  <si>
    <t>20261009_E01</t>
  </si>
  <si>
    <t>20261008_Day19_Environment.xlsx</t>
  </si>
  <si>
    <t>20261009_Day20_Environment.xlsx</t>
  </si>
  <si>
    <t>All files taken on Day 19 use this environment</t>
  </si>
  <si>
    <t>All files taken on Day 20 use this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</si>
</sst>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0" fontId="0" fillId="0" borderId="0" xfId="0" applyNumberFormat="1" applyAlignment="1">
      <alignment wrapText="1"/>
    </xf>
    <xf numFmtId="20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5" borderId="0" xfId="0" applyFill="1"/>
    <xf numFmtId="164" fontId="0" fillId="5" borderId="0" xfId="0" applyNumberFormat="1" applyFill="1"/>
    <xf numFmtId="20" fontId="0" fillId="5" borderId="0" xfId="0" applyNumberFormat="1" applyFill="1"/>
    <xf numFmtId="165" fontId="0" fillId="5" borderId="0" xfId="0" applyNumberFormat="1" applyFill="1"/>
    <xf numFmtId="0" fontId="0" fillId="5" borderId="0" xfId="0" applyFill="1" applyAlignment="1">
      <alignment wrapText="1"/>
    </xf>
    <xf numFmtId="164" fontId="0" fillId="5" borderId="0" xfId="0" applyNumberFormat="1" applyFill="1" applyAlignment="1">
      <alignment wrapText="1"/>
    </xf>
    <xf numFmtId="20" fontId="0" fillId="5" borderId="0" xfId="0" applyNumberFormat="1" applyFill="1" applyAlignment="1">
      <alignment wrapText="1"/>
    </xf>
    <xf numFmtId="165" fontId="0" fillId="5" borderId="0" xfId="0" applyNumberFormat="1" applyFill="1" applyAlignment="1">
      <alignment wrapText="1"/>
    </xf>
    <xf numFmtId="14" fontId="0" fillId="0" borderId="0" xfId="0" applyNumberFormat="1"/>
    <xf numFmtId="11" fontId="0" fillId="0" borderId="0" xfId="0" applyNumberFormat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165" fontId="0" fillId="6" borderId="0" xfId="0" applyNumberFormat="1" applyFill="1" applyAlignment="1">
      <alignment wrapText="1"/>
    </xf>
  </cellXfs>
  <cellStyles count="1">
    <cellStyle name="Normal" xfId="0" builtinId="0"/>
  </cellStyles>
  <dxfs count="9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numFmt numFmtId="165" formatCode="0.000"/>
      <alignment horizontal="general" vertical="bottom" textRotation="0" wrapText="1" indent="0" justifyLastLine="0" shrinkToFit="0" readingOrder="0"/>
    </dxf>
    <dxf>
      <numFmt numFmtId="165" formatCode="0.000"/>
      <alignment horizontal="general" vertical="bottom" textRotation="0" wrapText="1" indent="0" justifyLastLine="0" shrinkToFit="0" readingOrder="0"/>
    </dxf>
    <dxf>
      <numFmt numFmtId="165" formatCode="0.00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RunLog" displayName="ProjectRunLog" ref="A1:AM146" totalsRowShown="0">
  <tableColumns count="39">
    <tableColumn id="1" xr3:uid="{00000000-0010-0000-0000-000001000000}" name="Run ID"/>
    <tableColumn id="2" xr3:uid="{00000000-0010-0000-0000-000002000000}" name="Date"/>
    <tableColumn id="3" xr3:uid="{00000000-0010-0000-0000-000003000000}" name="Start Time"/>
    <tableColumn id="4" xr3:uid="{00000000-0010-0000-0000-000004000000}" name="Pair"/>
    <tableColumn id="5" xr3:uid="{00000000-0010-0000-0000-000005000000}" name="Test Stage"/>
    <tableColumn id="6" xr3:uid="{00000000-0010-0000-0000-000006000000}" name="Specimen"/>
    <tableColumn id="7" xr3:uid="{00000000-0010-0000-0000-000007000000}" name="Control Mode"/>
    <tableColumn id="8" xr3:uid="{00000000-0010-0000-0000-000008000000}" name="Condition"/>
    <tableColumn id="9" xr3:uid="{00000000-0010-0000-0000-000009000000}" name="Operating Point"/>
    <tableColumn id="10" xr3:uid="{00000000-0010-0000-0000-00000A000000}" name="Environment ID"/>
    <tableColumn id="11" xr3:uid="{00000000-0010-0000-0000-00000B000000}" name="Environment File"/>
    <tableColumn id="12" xr3:uid="{00000000-0010-0000-0000-00000C000000}" name="Target Panel DC V (V)"/>
    <tableColumn id="13" xr3:uid="{00000000-0010-0000-0000-00000D000000}" name="Target Panel DC I (A)"/>
    <tableColumn id="14" xr3:uid="{00000000-0010-0000-0000-00000E000000}" name="Nova Apply V (V)"/>
    <tableColumn id="15" xr3:uid="{00000000-0010-0000-0000-00000F000000}" name="Nova Apply I (A)"/>
    <tableColumn id="16" xr3:uid="{00000000-0010-0000-0000-000010000000}" name="Actual Settled DC V (V)"/>
    <tableColumn id="17" xr3:uid="{00000000-0010-0000-0000-000011000000}" name="Actual Settled DC I (A)"/>
    <tableColumn id="18" xr3:uid="{00000000-0010-0000-0000-000012000000}" name="AC Amplitude"/>
    <tableColumn id="19" xr3:uid="{00000000-0010-0000-0000-000013000000}" name="AC Unit"/>
    <tableColumn id="20" xr3:uid="{00000000-0010-0000-0000-000014000000}" name="Start Freq (Hz)"/>
    <tableColumn id="21" xr3:uid="{00000000-0010-0000-0000-000015000000}" name="Stop Freq (Hz)"/>
    <tableColumn id="22" xr3:uid="{00000000-0010-0000-0000-000016000000}" name="Points/Decade"/>
    <tableColumn id="39" xr3:uid="{00000000-0010-0000-0000-000027000000}" name="Centre Temp Before FRA (°C)" dataDxfId="8"/>
    <tableColumn id="38" xr3:uid="{00000000-0010-0000-0000-000026000000}" name="Centre Temp After FRA (°C)" dataDxfId="7"/>
    <tableColumn id="37" xr3:uid="{00000000-0010-0000-0000-000025000000}" name="ΔT During FRA (°C)" dataDxfId="6">
      <calculatedColumnFormula>ProjectRunLog[[#This Row],[Centre Temp After FRA (°C)]]-ProjectRunLog[[#This Row],[Centre Temp Before FRA (°C)]]</calculatedColumnFormula>
    </tableColumn>
    <tableColumn id="23" xr3:uid="{00000000-0010-0000-0000-000017000000}" name="Voc (V)"/>
    <tableColumn id="24" xr3:uid="{00000000-0010-0000-0000-000018000000}" name="Isc (A)"/>
    <tableColumn id="25" xr3:uid="{00000000-0010-0000-0000-000019000000}" name="Vmp (V)"/>
    <tableColumn id="26" xr3:uid="{00000000-0010-0000-0000-00001A000000}" name="Imp (A)"/>
    <tableColumn id="27" xr3:uid="{00000000-0010-0000-0000-00001B000000}" name="Pmp (W)"/>
    <tableColumn id="28" xr3:uid="{00000000-0010-0000-0000-00001C000000}" name="Mean |K-K Error Z'| (%)"/>
    <tableColumn id="29" xr3:uid="{00000000-0010-0000-0000-00001D000000}" name="Rs (Ω)"/>
    <tableColumn id="30" xr3:uid="{00000000-0010-0000-0000-00001E000000}" name="Rp / Rct (Ω)"/>
    <tableColumn id="31" xr3:uid="{00000000-0010-0000-0000-00001F000000}" name="CPE Y0"/>
    <tableColumn id="32" xr3:uid="{00000000-0010-0000-0000-000020000000}" name="CPE n"/>
    <tableColumn id="33" xr3:uid="{00000000-0010-0000-0000-000021000000}" name="Status"/>
    <tableColumn id="34" xr3:uid="{00000000-0010-0000-0000-000022000000}" name="Circuit Fit Source"/>
    <tableColumn id="35" xr3:uid="{00000000-0010-0000-0000-000023000000}" name="Data File Name"/>
    <tableColumn id="36" xr3:uid="{00000000-0010-0000-0000-00002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6"/>
  <sheetViews>
    <sheetView tabSelected="1" topLeftCell="AG126" zoomScale="101" workbookViewId="0">
      <selection activeCell="AM146" sqref="AM146"/>
    </sheetView>
  </sheetViews>
  <sheetFormatPr baseColWidth="10" defaultColWidth="8.83203125" defaultRowHeight="15"/>
  <cols>
    <col min="1" max="1" width="12.83203125" bestFit="1" customWidth="1"/>
    <col min="2" max="2" width="10.5" bestFit="1" customWidth="1"/>
    <col min="3" max="3" width="5.6640625" bestFit="1" customWidth="1"/>
    <col min="4" max="4" width="5.83203125" bestFit="1" customWidth="1"/>
    <col min="5" max="5" width="12.1640625" bestFit="1" customWidth="1"/>
    <col min="6" max="6" width="11" bestFit="1" customWidth="1"/>
    <col min="7" max="7" width="17.83203125" bestFit="1" customWidth="1"/>
    <col min="8" max="8" width="18.1640625" customWidth="1"/>
    <col min="9" max="9" width="17.83203125" customWidth="1"/>
    <col min="10" max="10" width="15.33203125" customWidth="1"/>
    <col min="11" max="11" width="31" bestFit="1" customWidth="1"/>
    <col min="12" max="12" width="21.5" customWidth="1"/>
    <col min="13" max="13" width="21.33203125" customWidth="1"/>
    <col min="14" max="14" width="15.83203125" customWidth="1"/>
    <col min="15" max="15" width="16.1640625" customWidth="1"/>
    <col min="16" max="16" width="22.83203125" customWidth="1"/>
    <col min="17" max="17" width="22.6640625" customWidth="1"/>
    <col min="18" max="18" width="15" customWidth="1"/>
    <col min="19" max="19" width="12.1640625" customWidth="1"/>
    <col min="20" max="20" width="14.33203125" customWidth="1"/>
    <col min="21" max="21" width="17.6640625" customWidth="1"/>
    <col min="22" max="25" width="15.83203125" customWidth="1"/>
    <col min="26" max="30" width="8.6640625" customWidth="1"/>
    <col min="31" max="31" width="24.6640625" customWidth="1"/>
    <col min="32" max="32" width="7.6640625" customWidth="1"/>
    <col min="33" max="33" width="13.6640625" customWidth="1"/>
    <col min="34" max="34" width="7.6640625" customWidth="1"/>
    <col min="35" max="35" width="6.6640625" customWidth="1"/>
    <col min="36" max="36" width="10.6640625" customWidth="1"/>
    <col min="37" max="37" width="19.6640625" customWidth="1"/>
    <col min="38" max="38" width="50.1640625" customWidth="1"/>
    <col min="39" max="39" width="117.1640625" customWidth="1"/>
  </cols>
  <sheetData>
    <row r="1" spans="1:39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122</v>
      </c>
      <c r="X1" s="1" t="s">
        <v>123</v>
      </c>
      <c r="Y1" s="1" t="s">
        <v>124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spans="1:39" s="11" customFormat="1" ht="32">
      <c r="A2" s="15" t="s">
        <v>36</v>
      </c>
      <c r="B2" s="16" t="s">
        <v>37</v>
      </c>
      <c r="C2" s="17"/>
      <c r="D2" s="15"/>
      <c r="E2" s="15" t="s">
        <v>38</v>
      </c>
      <c r="F2" s="15" t="s">
        <v>39</v>
      </c>
      <c r="G2" s="15" t="s">
        <v>40</v>
      </c>
      <c r="H2" s="15" t="s">
        <v>41</v>
      </c>
      <c r="I2" s="15" t="s">
        <v>42</v>
      </c>
      <c r="J2" s="15"/>
      <c r="K2" s="15"/>
      <c r="L2" s="18"/>
      <c r="M2" s="18"/>
      <c r="N2" s="18"/>
      <c r="O2" s="18"/>
      <c r="P2" s="18"/>
      <c r="Q2" s="18"/>
      <c r="R2" s="18"/>
      <c r="S2" s="18"/>
      <c r="T2" s="18">
        <v>100000</v>
      </c>
      <c r="U2" s="18">
        <v>0.1</v>
      </c>
      <c r="V2" s="18">
        <v>10</v>
      </c>
      <c r="W2" s="18"/>
      <c r="X2" s="18"/>
      <c r="Y2" s="18">
        <f>ProjectRunLog[[#This Row],[Centre Temp After FRA (°C)]]-ProjectRunLog[[#This Row],[Centre Temp Before FRA (°C)]]</f>
        <v>0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43</v>
      </c>
      <c r="AK2" s="15" t="s">
        <v>44</v>
      </c>
      <c r="AL2" s="15" t="s">
        <v>45</v>
      </c>
      <c r="AM2" s="15" t="s">
        <v>46</v>
      </c>
    </row>
    <row r="3" spans="1:39" ht="32">
      <c r="A3" s="2" t="s">
        <v>47</v>
      </c>
      <c r="B3" s="3" t="s">
        <v>37</v>
      </c>
      <c r="C3" s="5">
        <v>0.63472222222222219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f>ProjectRunLog[[#This Row],[Centre Temp After FRA (°C)]]-ProjectRunLog[[#This Row],[Centre Temp Before FRA (°C)]]</f>
        <v>0</v>
      </c>
      <c r="Z3" s="7">
        <v>21.5972900390625</v>
      </c>
      <c r="AA3" s="7">
        <v>0.77117919921875</v>
      </c>
      <c r="AB3" s="7">
        <v>18.988037109375</v>
      </c>
      <c r="AC3" s="7">
        <v>0.69000244140625</v>
      </c>
      <c r="AD3" s="7">
        <v>13.101792335510254</v>
      </c>
      <c r="AE3" s="7"/>
      <c r="AF3" s="7"/>
      <c r="AG3" s="7"/>
      <c r="AH3" s="7"/>
      <c r="AI3" s="7"/>
      <c r="AJ3" s="7" t="s">
        <v>56</v>
      </c>
      <c r="AK3" s="2" t="s">
        <v>57</v>
      </c>
      <c r="AL3" s="2" t="s">
        <v>58</v>
      </c>
      <c r="AM3" s="2" t="s">
        <v>59</v>
      </c>
    </row>
    <row r="4" spans="1:39" ht="32">
      <c r="A4" s="2" t="s">
        <v>60</v>
      </c>
      <c r="B4" s="3" t="s">
        <v>37</v>
      </c>
      <c r="C4" s="5">
        <v>0.64722222222222225</v>
      </c>
      <c r="D4" s="2" t="s">
        <v>48</v>
      </c>
      <c r="E4" s="2" t="s">
        <v>61</v>
      </c>
      <c r="F4" s="2" t="s">
        <v>50</v>
      </c>
      <c r="G4" s="2" t="s">
        <v>40</v>
      </c>
      <c r="H4" s="2" t="s">
        <v>52</v>
      </c>
      <c r="I4" s="2" t="s">
        <v>62</v>
      </c>
      <c r="J4" s="2" t="s">
        <v>54</v>
      </c>
      <c r="K4" s="2" t="s">
        <v>55</v>
      </c>
      <c r="L4" s="7">
        <v>21.6</v>
      </c>
      <c r="M4" s="7">
        <v>0</v>
      </c>
      <c r="N4" s="7">
        <v>2.16</v>
      </c>
      <c r="O4" s="7"/>
      <c r="P4" s="7"/>
      <c r="Q4" s="7"/>
      <c r="R4" s="7">
        <v>50</v>
      </c>
      <c r="S4" s="7" t="s">
        <v>63</v>
      </c>
      <c r="T4" s="7">
        <v>100000</v>
      </c>
      <c r="U4" s="7">
        <v>1</v>
      </c>
      <c r="V4" s="7">
        <v>10</v>
      </c>
      <c r="W4" s="7"/>
      <c r="X4" s="7"/>
      <c r="Y4" s="7">
        <f>ProjectRunLog[[#This Row],[Centre Temp After FRA (°C)]]-ProjectRunLog[[#This Row],[Centre Temp Before FRA (°C)]]</f>
        <v>0</v>
      </c>
      <c r="Z4" s="7">
        <v>21.5972900390625</v>
      </c>
      <c r="AA4" s="7">
        <v>0.77117919921875</v>
      </c>
      <c r="AB4" s="7">
        <v>18.988037109375</v>
      </c>
      <c r="AC4" s="7">
        <v>0.69000244140625</v>
      </c>
      <c r="AD4" s="7">
        <v>13.101792335510254</v>
      </c>
      <c r="AE4" s="7">
        <v>0.19475012544443557</v>
      </c>
      <c r="AF4" s="7">
        <v>6.1806E-2</v>
      </c>
      <c r="AG4" s="7">
        <v>0.13120000000000001</v>
      </c>
      <c r="AH4" s="7">
        <v>1.5566E-5</v>
      </c>
      <c r="AI4" s="7">
        <v>0.96894000000000002</v>
      </c>
      <c r="AJ4" s="7" t="s">
        <v>43</v>
      </c>
      <c r="AK4" s="2" t="s">
        <v>64</v>
      </c>
      <c r="AL4" s="2" t="s">
        <v>65</v>
      </c>
      <c r="AM4" s="2" t="s">
        <v>66</v>
      </c>
    </row>
    <row r="5" spans="1:39" ht="32">
      <c r="A5" s="2" t="s">
        <v>67</v>
      </c>
      <c r="B5" s="3" t="s">
        <v>37</v>
      </c>
      <c r="C5" s="5">
        <v>0.66111111111111109</v>
      </c>
      <c r="D5" s="2" t="s">
        <v>48</v>
      </c>
      <c r="E5" s="2" t="s">
        <v>68</v>
      </c>
      <c r="F5" s="2" t="s">
        <v>50</v>
      </c>
      <c r="G5" s="2" t="s">
        <v>69</v>
      </c>
      <c r="H5" s="2" t="s">
        <v>52</v>
      </c>
      <c r="I5" s="2" t="s">
        <v>62</v>
      </c>
      <c r="J5" s="2" t="s">
        <v>54</v>
      </c>
      <c r="K5" s="2" t="s">
        <v>55</v>
      </c>
      <c r="L5" s="7">
        <v>21.6</v>
      </c>
      <c r="M5" s="7">
        <v>0</v>
      </c>
      <c r="N5" s="7"/>
      <c r="O5" s="7">
        <v>0</v>
      </c>
      <c r="P5" s="7"/>
      <c r="Q5" s="7"/>
      <c r="R5" s="7">
        <v>85</v>
      </c>
      <c r="S5" s="7" t="s">
        <v>70</v>
      </c>
      <c r="T5" s="7">
        <v>10000</v>
      </c>
      <c r="U5" s="7">
        <v>0.1</v>
      </c>
      <c r="V5" s="7">
        <v>10</v>
      </c>
      <c r="W5" s="7"/>
      <c r="X5" s="7"/>
      <c r="Y5" s="7">
        <f>ProjectRunLog[[#This Row],[Centre Temp After FRA (°C)]]-ProjectRunLog[[#This Row],[Centre Temp Before FRA (°C)]]</f>
        <v>0</v>
      </c>
      <c r="Z5" s="7">
        <v>21.5972900390625</v>
      </c>
      <c r="AA5" s="7">
        <v>0.77117919921875</v>
      </c>
      <c r="AB5" s="7">
        <v>18.988037109375</v>
      </c>
      <c r="AC5" s="7">
        <v>0.69000244140625</v>
      </c>
      <c r="AD5" s="7">
        <v>13.101792335510254</v>
      </c>
      <c r="AE5" s="7">
        <v>0.51655154065759423</v>
      </c>
      <c r="AF5" s="7">
        <v>6.2092000000000001E-2</v>
      </c>
      <c r="AG5" s="7">
        <v>0.13145000000000001</v>
      </c>
      <c r="AH5" s="7">
        <v>8.9168000000000008E-3</v>
      </c>
      <c r="AI5" s="7">
        <v>0.97611000000000003</v>
      </c>
      <c r="AJ5" s="7" t="s">
        <v>43</v>
      </c>
      <c r="AK5" s="2" t="s">
        <v>64</v>
      </c>
      <c r="AL5" s="2" t="s">
        <v>71</v>
      </c>
      <c r="AM5" s="2" t="s">
        <v>72</v>
      </c>
    </row>
    <row r="6" spans="1:39" ht="32">
      <c r="A6" s="2" t="s">
        <v>73</v>
      </c>
      <c r="B6" s="3" t="s">
        <v>37</v>
      </c>
      <c r="C6" s="5"/>
      <c r="D6" s="2" t="s">
        <v>74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75</v>
      </c>
      <c r="J6" s="2" t="s">
        <v>76</v>
      </c>
      <c r="K6" s="2" t="s">
        <v>55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f>ProjectRunLog[[#This Row],[Centre Temp After FRA (°C)]]-ProjectRunLog[[#This Row],[Centre Temp Before FRA (°C)]]</f>
        <v>0</v>
      </c>
      <c r="Z6" s="7"/>
      <c r="AA6" s="7">
        <v>1.23779296875</v>
      </c>
      <c r="AB6" s="7">
        <v>19.2596435546875</v>
      </c>
      <c r="AC6" s="7">
        <v>1.1358642578125</v>
      </c>
      <c r="AD6" s="7">
        <v>21.876339912414551</v>
      </c>
      <c r="AE6" s="7"/>
      <c r="AF6" s="7"/>
      <c r="AG6" s="7"/>
      <c r="AH6" s="7"/>
      <c r="AI6" s="7"/>
      <c r="AJ6" s="7" t="s">
        <v>43</v>
      </c>
      <c r="AK6" s="2" t="s">
        <v>57</v>
      </c>
      <c r="AL6" s="2" t="s">
        <v>77</v>
      </c>
      <c r="AM6" s="2" t="s">
        <v>78</v>
      </c>
    </row>
    <row r="7" spans="1:39" ht="32">
      <c r="A7" s="2" t="s">
        <v>79</v>
      </c>
      <c r="B7" s="3" t="s">
        <v>37</v>
      </c>
      <c r="C7" s="5">
        <v>0.69166666666666665</v>
      </c>
      <c r="D7" s="2" t="s">
        <v>74</v>
      </c>
      <c r="E7" s="2" t="s">
        <v>61</v>
      </c>
      <c r="F7" s="2" t="s">
        <v>50</v>
      </c>
      <c r="G7" s="2" t="s">
        <v>40</v>
      </c>
      <c r="H7" s="2" t="s">
        <v>52</v>
      </c>
      <c r="I7" s="2" t="s">
        <v>62</v>
      </c>
      <c r="J7" s="2" t="s">
        <v>76</v>
      </c>
      <c r="K7" s="2" t="s">
        <v>55</v>
      </c>
      <c r="L7" s="7">
        <v>21.9</v>
      </c>
      <c r="M7" s="7">
        <v>0</v>
      </c>
      <c r="N7" s="7">
        <v>2.19</v>
      </c>
      <c r="O7" s="7"/>
      <c r="P7" s="7"/>
      <c r="Q7" s="7"/>
      <c r="R7" s="7">
        <v>50</v>
      </c>
      <c r="S7" s="7" t="s">
        <v>63</v>
      </c>
      <c r="T7" s="7">
        <v>100000</v>
      </c>
      <c r="U7" s="7">
        <v>1</v>
      </c>
      <c r="V7" s="7">
        <v>10</v>
      </c>
      <c r="W7" s="7"/>
      <c r="X7" s="7"/>
      <c r="Y7" s="7">
        <f>ProjectRunLog[[#This Row],[Centre Temp After FRA (°C)]]-ProjectRunLog[[#This Row],[Centre Temp Before FRA (°C)]]</f>
        <v>0</v>
      </c>
      <c r="Z7" s="7"/>
      <c r="AA7" s="7">
        <v>1.23779296875</v>
      </c>
      <c r="AB7" s="7">
        <v>19.2596435546875</v>
      </c>
      <c r="AC7" s="7">
        <v>1.1358642578125</v>
      </c>
      <c r="AD7" s="7">
        <v>21.876339912414551</v>
      </c>
      <c r="AE7" s="7">
        <v>0.18839070431112509</v>
      </c>
      <c r="AF7" s="7">
        <v>6.0219000000000002E-2</v>
      </c>
      <c r="AG7" s="7">
        <v>7.2481000000000004E-2</v>
      </c>
      <c r="AH7" s="7">
        <v>1.2389000000000001E-2</v>
      </c>
      <c r="AI7" s="7">
        <v>0.96950000000000003</v>
      </c>
      <c r="AJ7" s="7" t="s">
        <v>56</v>
      </c>
      <c r="AK7" s="2" t="s">
        <v>64</v>
      </c>
      <c r="AL7" s="2" t="s">
        <v>80</v>
      </c>
      <c r="AM7" s="2" t="s">
        <v>81</v>
      </c>
    </row>
    <row r="8" spans="1:39" ht="32">
      <c r="A8" s="2" t="s">
        <v>82</v>
      </c>
      <c r="B8" s="3" t="s">
        <v>37</v>
      </c>
      <c r="C8" s="5">
        <v>0.69930555555555551</v>
      </c>
      <c r="D8" s="2" t="s">
        <v>74</v>
      </c>
      <c r="E8" s="2" t="s">
        <v>68</v>
      </c>
      <c r="F8" s="2" t="s">
        <v>50</v>
      </c>
      <c r="G8" s="2" t="s">
        <v>69</v>
      </c>
      <c r="H8" s="2" t="s">
        <v>52</v>
      </c>
      <c r="I8" s="2" t="s">
        <v>62</v>
      </c>
      <c r="J8" s="2" t="s">
        <v>76</v>
      </c>
      <c r="K8" s="2" t="s">
        <v>55</v>
      </c>
      <c r="L8" s="7">
        <v>21.9</v>
      </c>
      <c r="M8" s="7">
        <v>0</v>
      </c>
      <c r="N8" s="7"/>
      <c r="O8" s="7">
        <v>0</v>
      </c>
      <c r="P8" s="7"/>
      <c r="Q8" s="7"/>
      <c r="R8" s="7">
        <v>85</v>
      </c>
      <c r="S8" s="7" t="s">
        <v>70</v>
      </c>
      <c r="T8" s="7">
        <v>10000</v>
      </c>
      <c r="U8" s="7">
        <v>0.1</v>
      </c>
      <c r="V8" s="7">
        <v>10</v>
      </c>
      <c r="W8" s="7"/>
      <c r="X8" s="7"/>
      <c r="Y8" s="7">
        <f>ProjectRunLog[[#This Row],[Centre Temp After FRA (°C)]]-ProjectRunLog[[#This Row],[Centre Temp Before FRA (°C)]]</f>
        <v>0</v>
      </c>
      <c r="Z8" s="7"/>
      <c r="AA8" s="7">
        <v>1.23779296875</v>
      </c>
      <c r="AB8" s="7">
        <v>19.2596435546875</v>
      </c>
      <c r="AC8" s="7">
        <v>1.1358642578125</v>
      </c>
      <c r="AD8" s="7">
        <v>21.876339912414551</v>
      </c>
      <c r="AE8" s="7">
        <v>0.29509181480446633</v>
      </c>
      <c r="AF8" s="7">
        <v>6.0364000000000001E-2</v>
      </c>
      <c r="AG8" s="7">
        <v>7.1004999999999999E-2</v>
      </c>
      <c r="AH8" s="7">
        <v>1.2617E-2</v>
      </c>
      <c r="AI8" s="7">
        <v>0.97248000000000001</v>
      </c>
      <c r="AJ8" s="7" t="s">
        <v>56</v>
      </c>
      <c r="AK8" s="2" t="s">
        <v>64</v>
      </c>
      <c r="AL8" s="2" t="s">
        <v>83</v>
      </c>
      <c r="AM8" s="2" t="s">
        <v>84</v>
      </c>
    </row>
    <row r="9" spans="1:39" s="11" customFormat="1">
      <c r="A9" s="11" t="s">
        <v>118</v>
      </c>
      <c r="B9" s="12">
        <v>46253</v>
      </c>
      <c r="C9" s="13">
        <v>0.55555555555555558</v>
      </c>
      <c r="D9" s="11" t="s">
        <v>48</v>
      </c>
      <c r="E9" s="11" t="s">
        <v>49</v>
      </c>
      <c r="F9" s="11" t="s">
        <v>50</v>
      </c>
      <c r="G9" s="11" t="s">
        <v>51</v>
      </c>
      <c r="H9" s="11" t="s">
        <v>52</v>
      </c>
      <c r="I9" s="11" t="s">
        <v>53</v>
      </c>
      <c r="J9" s="11" t="s">
        <v>119</v>
      </c>
      <c r="K9" s="11" t="s">
        <v>120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>
        <f>ProjectRunLog[[#This Row],[Centre Temp After FRA (°C)]]-ProjectRunLog[[#This Row],[Centre Temp Before FRA (°C)]]</f>
        <v>0</v>
      </c>
      <c r="Z9" s="14">
        <v>20.933024871344749</v>
      </c>
      <c r="AA9" s="14">
        <v>0.79683243667954384</v>
      </c>
      <c r="AB9" s="14">
        <v>18.017578125</v>
      </c>
      <c r="AC9" s="14">
        <v>0.76507568359375</v>
      </c>
      <c r="AD9" s="14">
        <v>13.784810900688171</v>
      </c>
      <c r="AE9" s="14"/>
      <c r="AF9" s="14"/>
      <c r="AG9" s="14"/>
      <c r="AH9" s="14"/>
      <c r="AI9" s="14"/>
      <c r="AJ9" s="14"/>
      <c r="AL9" s="11" t="s">
        <v>129</v>
      </c>
    </row>
    <row r="10" spans="1:39">
      <c r="A10" t="s">
        <v>121</v>
      </c>
      <c r="B10" s="4">
        <v>46253</v>
      </c>
      <c r="C10" s="6">
        <v>0.56944444444444442</v>
      </c>
      <c r="D10" t="s">
        <v>48</v>
      </c>
      <c r="E10" t="s">
        <v>61</v>
      </c>
      <c r="F10" t="s">
        <v>50</v>
      </c>
      <c r="G10" t="s">
        <v>40</v>
      </c>
      <c r="H10" t="s">
        <v>52</v>
      </c>
      <c r="I10" t="s">
        <v>62</v>
      </c>
      <c r="J10" t="s">
        <v>119</v>
      </c>
      <c r="K10" t="s">
        <v>120</v>
      </c>
      <c r="L10" s="8">
        <v>20.9</v>
      </c>
      <c r="M10" s="8">
        <v>0</v>
      </c>
      <c r="N10" s="8">
        <v>2.09</v>
      </c>
      <c r="O10" s="8" t="s">
        <v>57</v>
      </c>
      <c r="P10" s="8">
        <v>20.9</v>
      </c>
      <c r="Q10" s="8">
        <v>0</v>
      </c>
      <c r="R10" s="8">
        <v>50</v>
      </c>
      <c r="S10" s="8" t="s">
        <v>63</v>
      </c>
      <c r="T10" s="8">
        <v>100000</v>
      </c>
      <c r="U10" s="8">
        <v>0.1</v>
      </c>
      <c r="V10" s="8">
        <v>10</v>
      </c>
      <c r="W10" s="8">
        <v>50</v>
      </c>
      <c r="X10" s="8">
        <v>49.9</v>
      </c>
      <c r="Y10" s="8">
        <f>ProjectRunLog[[#This Row],[Centre Temp After FRA (°C)]]-ProjectRunLog[[#This Row],[Centre Temp Before FRA (°C)]]</f>
        <v>-0.10000000000000142</v>
      </c>
      <c r="Z10" s="8"/>
      <c r="AA10" s="8"/>
      <c r="AB10" s="8"/>
      <c r="AC10" s="8"/>
      <c r="AD10" s="8"/>
      <c r="AE10" s="8">
        <v>0.15048568860780775</v>
      </c>
      <c r="AF10" s="8">
        <v>6.5402000000000002E-2</v>
      </c>
      <c r="AG10" s="8">
        <v>0.12060999999999999</v>
      </c>
      <c r="AH10" s="8">
        <v>1.7102999999999999E-5</v>
      </c>
      <c r="AI10" s="8">
        <v>0.97343000000000002</v>
      </c>
      <c r="AJ10" s="8"/>
      <c r="AK10" t="s">
        <v>151</v>
      </c>
    </row>
    <row r="11" spans="1:39">
      <c r="A11" t="s">
        <v>125</v>
      </c>
      <c r="B11" s="4">
        <v>46253</v>
      </c>
      <c r="C11" s="6">
        <v>0.58263888888888893</v>
      </c>
      <c r="D11" t="s">
        <v>48</v>
      </c>
      <c r="E11" t="s">
        <v>68</v>
      </c>
      <c r="F11" t="s">
        <v>50</v>
      </c>
      <c r="G11" t="s">
        <v>69</v>
      </c>
      <c r="H11" t="s">
        <v>52</v>
      </c>
      <c r="I11" t="s">
        <v>62</v>
      </c>
      <c r="J11" t="s">
        <v>119</v>
      </c>
      <c r="K11" t="s">
        <v>120</v>
      </c>
      <c r="L11" s="8">
        <v>20.9</v>
      </c>
      <c r="M11" s="8">
        <v>0</v>
      </c>
      <c r="N11" s="8" t="s">
        <v>57</v>
      </c>
      <c r="O11" s="8">
        <v>0</v>
      </c>
      <c r="P11" s="8">
        <v>20.9</v>
      </c>
      <c r="Q11" s="8">
        <v>0</v>
      </c>
      <c r="R11" s="8">
        <v>85</v>
      </c>
      <c r="S11" s="8" t="s">
        <v>70</v>
      </c>
      <c r="T11" s="8">
        <v>100000</v>
      </c>
      <c r="U11" s="8">
        <v>0.1</v>
      </c>
      <c r="V11" s="8">
        <v>10</v>
      </c>
      <c r="W11" s="7">
        <v>49.9</v>
      </c>
      <c r="X11" s="7">
        <v>50.1</v>
      </c>
      <c r="Y11" s="7">
        <f>ProjectRunLog[[#This Row],[Centre Temp After FRA (°C)]]-ProjectRunLog[[#This Row],[Centre Temp Before FRA (°C)]]</f>
        <v>0.20000000000000284</v>
      </c>
      <c r="Z11" s="8"/>
      <c r="AA11" s="8"/>
      <c r="AB11" s="8"/>
      <c r="AC11" s="8"/>
      <c r="AD11" s="8"/>
      <c r="AE11" s="8">
        <v>0.2614003491924286</v>
      </c>
      <c r="AF11" s="8">
        <v>6.5429000000000001E-2</v>
      </c>
      <c r="AG11" s="8">
        <v>0.12093</v>
      </c>
      <c r="AH11" s="8">
        <v>1.7000999999999999E-5</v>
      </c>
      <c r="AI11" s="8">
        <v>0.9728</v>
      </c>
      <c r="AJ11" s="8"/>
      <c r="AK11" t="s">
        <v>151</v>
      </c>
    </row>
    <row r="12" spans="1:39">
      <c r="A12" t="s">
        <v>91</v>
      </c>
      <c r="B12" s="4">
        <v>46253</v>
      </c>
      <c r="C12" s="6">
        <v>0.58680555555555558</v>
      </c>
      <c r="D12" t="s">
        <v>48</v>
      </c>
      <c r="E12" t="s">
        <v>61</v>
      </c>
      <c r="F12" t="s">
        <v>50</v>
      </c>
      <c r="G12" t="s">
        <v>40</v>
      </c>
      <c r="H12" t="s">
        <v>52</v>
      </c>
      <c r="I12" t="s">
        <v>62</v>
      </c>
      <c r="J12" t="s">
        <v>119</v>
      </c>
      <c r="K12" t="s">
        <v>120</v>
      </c>
      <c r="L12" s="8">
        <v>20.9</v>
      </c>
      <c r="M12" s="8">
        <v>0</v>
      </c>
      <c r="N12" s="8">
        <v>2.09</v>
      </c>
      <c r="O12" s="8" t="s">
        <v>57</v>
      </c>
      <c r="P12" s="8">
        <v>20.9</v>
      </c>
      <c r="Q12" s="8">
        <v>0</v>
      </c>
      <c r="R12" s="8">
        <v>20</v>
      </c>
      <c r="S12" s="8" t="s">
        <v>63</v>
      </c>
      <c r="T12" s="8">
        <v>100000</v>
      </c>
      <c r="U12" s="8">
        <v>0.1</v>
      </c>
      <c r="V12" s="8">
        <v>10</v>
      </c>
      <c r="W12" s="7">
        <v>50.1</v>
      </c>
      <c r="X12" s="7">
        <v>50.1</v>
      </c>
      <c r="Y12" s="7">
        <f>ProjectRunLog[[#This Row],[Centre Temp After FRA (°C)]]-ProjectRunLog[[#This Row],[Centre Temp Before FRA (°C)]]</f>
        <v>0</v>
      </c>
      <c r="Z12" s="8"/>
      <c r="AA12" s="8"/>
      <c r="AB12" s="8"/>
      <c r="AC12" s="8"/>
      <c r="AD12" s="8"/>
      <c r="AE12" s="8">
        <v>0.20376297589718478</v>
      </c>
      <c r="AF12" s="8">
        <v>6.5753000000000006E-2</v>
      </c>
      <c r="AG12" s="8">
        <v>0.12083000000000001</v>
      </c>
      <c r="AH12" s="8">
        <v>1.7024000000000002E-5</v>
      </c>
      <c r="AI12" s="8">
        <v>0.98060000000000003</v>
      </c>
      <c r="AJ12" s="8"/>
      <c r="AK12" t="s">
        <v>151</v>
      </c>
    </row>
    <row r="13" spans="1:39">
      <c r="A13" t="s">
        <v>126</v>
      </c>
      <c r="B13" s="4">
        <v>46253</v>
      </c>
      <c r="C13" s="6">
        <v>0.59097222222222223</v>
      </c>
      <c r="D13" t="s">
        <v>48</v>
      </c>
      <c r="E13" t="s">
        <v>68</v>
      </c>
      <c r="F13" t="s">
        <v>50</v>
      </c>
      <c r="G13" t="s">
        <v>69</v>
      </c>
      <c r="H13" t="s">
        <v>52</v>
      </c>
      <c r="I13" t="s">
        <v>62</v>
      </c>
      <c r="J13" t="s">
        <v>119</v>
      </c>
      <c r="K13" t="s">
        <v>120</v>
      </c>
      <c r="L13" s="8">
        <v>20.9</v>
      </c>
      <c r="M13" s="8">
        <v>0</v>
      </c>
      <c r="N13" s="8" t="s">
        <v>57</v>
      </c>
      <c r="O13" s="8">
        <v>0</v>
      </c>
      <c r="P13" s="8">
        <v>20.9</v>
      </c>
      <c r="Q13" s="8">
        <v>0</v>
      </c>
      <c r="R13" s="8">
        <v>50</v>
      </c>
      <c r="S13" s="8" t="s">
        <v>70</v>
      </c>
      <c r="T13" s="8">
        <v>100000</v>
      </c>
      <c r="U13" s="8">
        <v>0.1</v>
      </c>
      <c r="V13" s="8">
        <v>10</v>
      </c>
      <c r="W13" s="7">
        <v>50.1</v>
      </c>
      <c r="X13" s="7">
        <v>49.8</v>
      </c>
      <c r="Y13" s="7">
        <f>ProjectRunLog[[#This Row],[Centre Temp After FRA (°C)]]-ProjectRunLog[[#This Row],[Centre Temp Before FRA (°C)]]</f>
        <v>-0.30000000000000426</v>
      </c>
      <c r="Z13" s="8"/>
      <c r="AA13" s="8"/>
      <c r="AB13" s="8"/>
      <c r="AC13" s="8"/>
      <c r="AD13" s="8"/>
      <c r="AE13" s="8">
        <v>0.32763942097492255</v>
      </c>
      <c r="AF13" s="8">
        <v>6.5326999999999996E-2</v>
      </c>
      <c r="AG13" s="8">
        <v>0.12085</v>
      </c>
      <c r="AH13" s="8">
        <v>1.7025E-5</v>
      </c>
      <c r="AI13" s="8">
        <v>0.96621999999999997</v>
      </c>
      <c r="AJ13" s="8"/>
      <c r="AK13" t="s">
        <v>151</v>
      </c>
    </row>
    <row r="14" spans="1:39">
      <c r="A14" t="s">
        <v>127</v>
      </c>
      <c r="B14" s="4">
        <v>46253</v>
      </c>
      <c r="C14" s="6">
        <v>0.59722222222222221</v>
      </c>
      <c r="D14" t="s">
        <v>48</v>
      </c>
      <c r="E14" t="s">
        <v>61</v>
      </c>
      <c r="F14" t="s">
        <v>50</v>
      </c>
      <c r="G14" t="s">
        <v>40</v>
      </c>
      <c r="H14" t="s">
        <v>52</v>
      </c>
      <c r="I14" t="s">
        <v>62</v>
      </c>
      <c r="J14" t="s">
        <v>119</v>
      </c>
      <c r="K14" t="s">
        <v>120</v>
      </c>
      <c r="L14" s="8">
        <v>20.9</v>
      </c>
      <c r="M14" s="8">
        <v>0</v>
      </c>
      <c r="N14" s="8">
        <v>2.09</v>
      </c>
      <c r="O14" s="8" t="s">
        <v>57</v>
      </c>
      <c r="P14" s="8">
        <v>20.9</v>
      </c>
      <c r="Q14" s="8">
        <v>0</v>
      </c>
      <c r="R14" s="8">
        <v>100</v>
      </c>
      <c r="S14" s="8" t="s">
        <v>63</v>
      </c>
      <c r="T14" s="8">
        <v>100000</v>
      </c>
      <c r="U14" s="8">
        <v>0.1</v>
      </c>
      <c r="V14" s="8">
        <v>10</v>
      </c>
      <c r="W14" s="7">
        <v>49.8</v>
      </c>
      <c r="X14" s="7">
        <v>49.7</v>
      </c>
      <c r="Y14" s="7">
        <f>ProjectRunLog[[#This Row],[Centre Temp After FRA (°C)]]-ProjectRunLog[[#This Row],[Centre Temp Before FRA (°C)]]</f>
        <v>-9.9999999999994316E-2</v>
      </c>
      <c r="Z14" s="8"/>
      <c r="AA14" s="8"/>
      <c r="AB14" s="8"/>
      <c r="AC14" s="8"/>
      <c r="AD14" s="8"/>
      <c r="AE14" s="8">
        <v>0.33659110276982479</v>
      </c>
      <c r="AF14" s="8">
        <v>6.5439999999999998E-2</v>
      </c>
      <c r="AG14" s="8">
        <v>0.12105</v>
      </c>
      <c r="AH14" s="8">
        <v>8.7217000000000006E-3</v>
      </c>
      <c r="AI14" s="8">
        <v>0.96750999999999998</v>
      </c>
      <c r="AJ14" s="8"/>
      <c r="AK14" t="s">
        <v>151</v>
      </c>
    </row>
    <row r="15" spans="1:39">
      <c r="A15" t="s">
        <v>128</v>
      </c>
      <c r="B15" s="4">
        <v>46253</v>
      </c>
      <c r="C15" s="6">
        <v>0.60138888888888886</v>
      </c>
      <c r="D15" t="s">
        <v>48</v>
      </c>
      <c r="E15" t="s">
        <v>68</v>
      </c>
      <c r="F15" t="s">
        <v>50</v>
      </c>
      <c r="G15" t="s">
        <v>69</v>
      </c>
      <c r="H15" t="s">
        <v>52</v>
      </c>
      <c r="I15" t="s">
        <v>62</v>
      </c>
      <c r="J15" t="s">
        <v>119</v>
      </c>
      <c r="K15" t="s">
        <v>120</v>
      </c>
      <c r="L15" s="8">
        <v>20.9</v>
      </c>
      <c r="M15" s="8">
        <v>0</v>
      </c>
      <c r="N15" s="8" t="s">
        <v>57</v>
      </c>
      <c r="O15" s="8">
        <v>0</v>
      </c>
      <c r="P15" s="8">
        <v>20.9</v>
      </c>
      <c r="Q15" s="8">
        <v>0</v>
      </c>
      <c r="R15" s="8">
        <v>20</v>
      </c>
      <c r="S15" s="8" t="s">
        <v>70</v>
      </c>
      <c r="T15" s="8">
        <v>100000</v>
      </c>
      <c r="U15" s="8">
        <v>0.1</v>
      </c>
      <c r="V15" s="8">
        <v>10</v>
      </c>
      <c r="W15" s="7">
        <v>49.7</v>
      </c>
      <c r="X15" s="7">
        <v>50</v>
      </c>
      <c r="Y15" s="7">
        <f>ProjectRunLog[[#This Row],[Centre Temp After FRA (°C)]]-ProjectRunLog[[#This Row],[Centre Temp Before FRA (°C)]]</f>
        <v>0.29999999999999716</v>
      </c>
      <c r="Z15" s="8"/>
      <c r="AA15" s="8"/>
      <c r="AB15" s="8"/>
      <c r="AC15" s="8"/>
      <c r="AD15" s="8"/>
      <c r="AE15" s="8">
        <v>0.68478159275616091</v>
      </c>
      <c r="AF15" s="8">
        <v>6.6105999999999998E-2</v>
      </c>
      <c r="AG15" s="8">
        <v>0.11971</v>
      </c>
      <c r="AH15" s="8">
        <v>9.6685E-3</v>
      </c>
      <c r="AI15" s="8">
        <v>0.98646</v>
      </c>
      <c r="AJ15" s="8"/>
      <c r="AK15" t="s">
        <v>151</v>
      </c>
    </row>
    <row r="16" spans="1:39" s="11" customFormat="1">
      <c r="A16" s="11" t="s">
        <v>130</v>
      </c>
      <c r="B16" s="12">
        <v>46254</v>
      </c>
      <c r="C16" s="13">
        <v>0.61597222222222225</v>
      </c>
      <c r="D16" s="11" t="s">
        <v>48</v>
      </c>
      <c r="E16" s="11" t="s">
        <v>49</v>
      </c>
      <c r="F16" s="11" t="s">
        <v>50</v>
      </c>
      <c r="G16" s="11" t="s">
        <v>51</v>
      </c>
      <c r="H16" s="11" t="s">
        <v>52</v>
      </c>
      <c r="I16" s="11" t="s">
        <v>53</v>
      </c>
      <c r="J16" s="11" t="s">
        <v>131</v>
      </c>
      <c r="K16" t="s">
        <v>132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8"/>
      <c r="X16" s="18"/>
      <c r="Y16" s="18">
        <f>ProjectRunLog[[#This Row],[Centre Temp After FRA (°C)]]-ProjectRunLog[[#This Row],[Centre Temp Before FRA (°C)]]</f>
        <v>0</v>
      </c>
      <c r="Z16" s="14"/>
      <c r="AA16" s="14">
        <v>0.67906989289196273</v>
      </c>
      <c r="AB16" s="14">
        <v>18.060302734375</v>
      </c>
      <c r="AC16" s="14">
        <v>0.635986328125</v>
      </c>
      <c r="AD16" s="14">
        <v>11.486105620861053</v>
      </c>
      <c r="AE16" s="14"/>
      <c r="AF16" s="14"/>
      <c r="AG16" s="14"/>
      <c r="AH16" s="14"/>
      <c r="AI16" s="14"/>
      <c r="AJ16" s="14" t="s">
        <v>56</v>
      </c>
      <c r="AK16" s="11" t="s">
        <v>44</v>
      </c>
      <c r="AL16" s="11" t="s">
        <v>142</v>
      </c>
    </row>
    <row r="17" spans="1:38" s="11" customFormat="1">
      <c r="A17" s="11" t="s">
        <v>136</v>
      </c>
      <c r="B17" s="12">
        <v>46254</v>
      </c>
      <c r="C17" s="13">
        <v>0.63472222222222219</v>
      </c>
      <c r="D17" s="11" t="s">
        <v>48</v>
      </c>
      <c r="E17" s="11" t="s">
        <v>49</v>
      </c>
      <c r="F17" s="11" t="s">
        <v>50</v>
      </c>
      <c r="G17" s="11" t="s">
        <v>51</v>
      </c>
      <c r="H17" s="11" t="s">
        <v>52</v>
      </c>
      <c r="I17" s="11" t="s">
        <v>75</v>
      </c>
      <c r="J17" s="11" t="s">
        <v>131</v>
      </c>
      <c r="K17" t="s">
        <v>132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8"/>
      <c r="X17" s="18"/>
      <c r="Y17" s="18">
        <f>ProjectRunLog[[#This Row],[Centre Temp After FRA (°C)]]-ProjectRunLog[[#This Row],[Centre Temp Before FRA (°C)]]</f>
        <v>0</v>
      </c>
      <c r="Z17" s="14">
        <v>20.83948007841521</v>
      </c>
      <c r="AA17" s="14">
        <v>0.6913606618638366</v>
      </c>
      <c r="AB17" s="14">
        <v>18.1549072265625</v>
      </c>
      <c r="AC17" s="14">
        <v>0.63995361328125</v>
      </c>
      <c r="AD17" s="14">
        <v>11.618298478424549</v>
      </c>
      <c r="AE17" s="14"/>
      <c r="AF17" s="14"/>
      <c r="AG17" s="14"/>
      <c r="AH17" s="14"/>
      <c r="AI17" s="14"/>
      <c r="AJ17" s="14" t="s">
        <v>56</v>
      </c>
      <c r="AK17" s="11" t="s">
        <v>44</v>
      </c>
      <c r="AL17" s="11" t="s">
        <v>143</v>
      </c>
    </row>
    <row r="18" spans="1:38">
      <c r="A18" t="s">
        <v>133</v>
      </c>
      <c r="B18" s="4">
        <v>46254</v>
      </c>
      <c r="C18" s="6">
        <v>0.62083333333333335</v>
      </c>
      <c r="D18" t="s">
        <v>48</v>
      </c>
      <c r="E18" t="s">
        <v>61</v>
      </c>
      <c r="F18" t="s">
        <v>50</v>
      </c>
      <c r="G18" t="s">
        <v>40</v>
      </c>
      <c r="H18" t="s">
        <v>52</v>
      </c>
      <c r="I18" t="s">
        <v>62</v>
      </c>
      <c r="J18" t="s">
        <v>131</v>
      </c>
      <c r="K18" t="s">
        <v>132</v>
      </c>
      <c r="L18" s="8">
        <v>20.8</v>
      </c>
      <c r="M18" s="8">
        <v>0</v>
      </c>
      <c r="N18" s="8">
        <v>2.08</v>
      </c>
      <c r="O18" s="8" t="s">
        <v>57</v>
      </c>
      <c r="P18" s="8">
        <v>20.8</v>
      </c>
      <c r="Q18" s="8">
        <v>0</v>
      </c>
      <c r="R18" s="8">
        <v>50</v>
      </c>
      <c r="S18" s="8" t="s">
        <v>63</v>
      </c>
      <c r="T18" s="8">
        <v>100000</v>
      </c>
      <c r="U18" s="8">
        <v>0.1</v>
      </c>
      <c r="V18" s="8">
        <v>10</v>
      </c>
      <c r="W18" s="7">
        <v>48.4</v>
      </c>
      <c r="X18" s="7">
        <v>47.9</v>
      </c>
      <c r="Y18" s="7">
        <f>ProjectRunLog[[#This Row],[Centre Temp After FRA (°C)]]-ProjectRunLog[[#This Row],[Centre Temp Before FRA (°C)]]</f>
        <v>-0.5</v>
      </c>
      <c r="Z18" s="8"/>
      <c r="AA18" s="8"/>
      <c r="AB18" s="8"/>
      <c r="AC18" s="8"/>
      <c r="AD18" s="8"/>
      <c r="AE18" s="8">
        <v>0.12920940660798272</v>
      </c>
      <c r="AF18" s="8">
        <v>6.4166000000000001E-2</v>
      </c>
      <c r="AG18" s="8">
        <v>0.14629</v>
      </c>
      <c r="AH18" s="8">
        <v>8.1846000000000002E-3</v>
      </c>
      <c r="AI18" s="8">
        <v>0.97328999999999999</v>
      </c>
      <c r="AJ18" s="8" t="s">
        <v>56</v>
      </c>
      <c r="AK18" t="s">
        <v>151</v>
      </c>
      <c r="AL18" t="s">
        <v>145</v>
      </c>
    </row>
    <row r="19" spans="1:38">
      <c r="A19" t="s">
        <v>134</v>
      </c>
      <c r="B19" s="4">
        <v>46254</v>
      </c>
      <c r="C19" s="6">
        <v>0.62361111111111112</v>
      </c>
      <c r="D19" t="s">
        <v>48</v>
      </c>
      <c r="E19" t="s">
        <v>61</v>
      </c>
      <c r="F19" t="s">
        <v>50</v>
      </c>
      <c r="G19" t="s">
        <v>40</v>
      </c>
      <c r="H19" t="s">
        <v>52</v>
      </c>
      <c r="I19" t="s">
        <v>62</v>
      </c>
      <c r="J19" t="s">
        <v>131</v>
      </c>
      <c r="K19" t="s">
        <v>132</v>
      </c>
      <c r="L19" s="8">
        <v>20.8</v>
      </c>
      <c r="M19" s="8">
        <v>0</v>
      </c>
      <c r="N19" s="8">
        <v>2.08</v>
      </c>
      <c r="O19" s="8" t="s">
        <v>57</v>
      </c>
      <c r="P19" s="8">
        <v>20.8</v>
      </c>
      <c r="Q19" s="8">
        <v>0</v>
      </c>
      <c r="R19" s="8">
        <v>50</v>
      </c>
      <c r="S19" s="8" t="s">
        <v>63</v>
      </c>
      <c r="T19" s="8">
        <v>100000</v>
      </c>
      <c r="U19" s="8">
        <v>1</v>
      </c>
      <c r="V19" s="8">
        <v>10</v>
      </c>
      <c r="W19" s="7">
        <v>47.9</v>
      </c>
      <c r="X19" s="7">
        <v>48.4</v>
      </c>
      <c r="Y19" s="7">
        <f>ProjectRunLog[[#This Row],[Centre Temp After FRA (°C)]]-ProjectRunLog[[#This Row],[Centre Temp Before FRA (°C)]]</f>
        <v>0.5</v>
      </c>
      <c r="Z19" s="8"/>
      <c r="AA19" s="8"/>
      <c r="AB19" s="8"/>
      <c r="AC19" s="8"/>
      <c r="AD19" s="8"/>
      <c r="AE19" s="8">
        <v>0.15357289298676272</v>
      </c>
      <c r="AF19" s="8">
        <v>6.3909999999999995E-2</v>
      </c>
      <c r="AG19" s="8">
        <v>0.14885999999999999</v>
      </c>
      <c r="AH19" s="8">
        <v>8.0850999999999996E-3</v>
      </c>
      <c r="AI19" s="8">
        <v>0.96499999999999997</v>
      </c>
      <c r="AJ19" s="8" t="s">
        <v>56</v>
      </c>
      <c r="AK19" t="s">
        <v>151</v>
      </c>
      <c r="AL19" t="s">
        <v>146</v>
      </c>
    </row>
    <row r="20" spans="1:38">
      <c r="A20" t="s">
        <v>135</v>
      </c>
      <c r="B20" s="4">
        <v>46254</v>
      </c>
      <c r="C20" s="6">
        <v>0.62847222222222221</v>
      </c>
      <c r="D20" t="s">
        <v>48</v>
      </c>
      <c r="E20" t="s">
        <v>61</v>
      </c>
      <c r="F20" t="s">
        <v>50</v>
      </c>
      <c r="G20" t="s">
        <v>40</v>
      </c>
      <c r="H20" t="s">
        <v>52</v>
      </c>
      <c r="I20" t="s">
        <v>62</v>
      </c>
      <c r="J20" t="s">
        <v>131</v>
      </c>
      <c r="K20" t="s">
        <v>132</v>
      </c>
      <c r="L20" s="8">
        <v>20.8</v>
      </c>
      <c r="M20" s="8">
        <v>0</v>
      </c>
      <c r="N20" s="8">
        <v>2.08</v>
      </c>
      <c r="O20" s="8" t="s">
        <v>57</v>
      </c>
      <c r="P20" s="8">
        <v>20.8</v>
      </c>
      <c r="Q20" s="8">
        <v>0</v>
      </c>
      <c r="R20" s="8">
        <v>50</v>
      </c>
      <c r="S20" s="8" t="s">
        <v>63</v>
      </c>
      <c r="T20" s="8">
        <v>100000</v>
      </c>
      <c r="U20" s="8">
        <v>10</v>
      </c>
      <c r="V20" s="8">
        <v>10</v>
      </c>
      <c r="W20" s="7">
        <v>48.4</v>
      </c>
      <c r="X20" s="7">
        <v>48.2</v>
      </c>
      <c r="Y20" s="7">
        <f>ProjectRunLog[[#This Row],[Centre Temp After FRA (°C)]]-ProjectRunLog[[#This Row],[Centre Temp Before FRA (°C)]]</f>
        <v>-0.19999999999999574</v>
      </c>
      <c r="Z20" s="8"/>
      <c r="AA20" s="8"/>
      <c r="AB20" s="8"/>
      <c r="AC20" s="8"/>
      <c r="AD20" s="8"/>
      <c r="AE20" s="8">
        <v>0.17983652117888502</v>
      </c>
      <c r="AF20" s="8">
        <v>6.3999E-2</v>
      </c>
      <c r="AG20" s="8">
        <v>0.14932999999999999</v>
      </c>
      <c r="AH20" s="8">
        <v>8.0578999999999998E-3</v>
      </c>
      <c r="AI20" s="8">
        <v>0.96397999999999995</v>
      </c>
      <c r="AJ20" s="8" t="s">
        <v>56</v>
      </c>
      <c r="AK20" t="s">
        <v>151</v>
      </c>
      <c r="AL20" t="s">
        <v>147</v>
      </c>
    </row>
    <row r="21" spans="1:38" s="11" customFormat="1">
      <c r="A21" s="11" t="s">
        <v>137</v>
      </c>
      <c r="B21" s="12">
        <v>46254</v>
      </c>
      <c r="C21" s="13">
        <v>0.64930555555555558</v>
      </c>
      <c r="D21" s="11" t="s">
        <v>74</v>
      </c>
      <c r="E21" s="11" t="s">
        <v>49</v>
      </c>
      <c r="F21" s="11" t="s">
        <v>50</v>
      </c>
      <c r="G21" s="11" t="s">
        <v>40</v>
      </c>
      <c r="H21" s="11" t="s">
        <v>52</v>
      </c>
      <c r="I21" s="11" t="s">
        <v>75</v>
      </c>
      <c r="J21" s="11" t="s">
        <v>141</v>
      </c>
      <c r="K21" s="11" t="s">
        <v>132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8">
        <v>50.2</v>
      </c>
      <c r="X21" s="18">
        <v>47.9</v>
      </c>
      <c r="Y21" s="18">
        <f>ProjectRunLog[[#This Row],[Centre Temp After FRA (°C)]]-ProjectRunLog[[#This Row],[Centre Temp Before FRA (°C)]]</f>
        <v>-2.3000000000000043</v>
      </c>
      <c r="Z21" s="14">
        <v>20.812263597039085</v>
      </c>
      <c r="AA21" s="14">
        <v>0.67621708292968619</v>
      </c>
      <c r="AB21" s="14">
        <v>18.1396484375</v>
      </c>
      <c r="AC21" s="14">
        <v>0.62835693359375</v>
      </c>
      <c r="AD21" s="14">
        <v>11.398173868656158</v>
      </c>
      <c r="AE21" s="14"/>
      <c r="AF21" s="14"/>
      <c r="AG21" s="14"/>
      <c r="AH21" s="14"/>
      <c r="AI21" s="14"/>
      <c r="AJ21" s="14" t="s">
        <v>56</v>
      </c>
      <c r="AK21" s="11" t="s">
        <v>44</v>
      </c>
      <c r="AL21" s="11" t="s">
        <v>144</v>
      </c>
    </row>
    <row r="22" spans="1:38">
      <c r="A22" t="s">
        <v>138</v>
      </c>
      <c r="B22" s="4">
        <v>46254</v>
      </c>
      <c r="C22" s="6">
        <v>0.65069444444444446</v>
      </c>
      <c r="D22" t="s">
        <v>74</v>
      </c>
      <c r="E22" t="s">
        <v>61</v>
      </c>
      <c r="F22" t="s">
        <v>50</v>
      </c>
      <c r="G22" t="s">
        <v>40</v>
      </c>
      <c r="H22" t="s">
        <v>52</v>
      </c>
      <c r="I22" t="s">
        <v>62</v>
      </c>
      <c r="J22" t="s">
        <v>141</v>
      </c>
      <c r="K22" t="s">
        <v>132</v>
      </c>
      <c r="L22" s="8">
        <v>20.8</v>
      </c>
      <c r="M22" s="8">
        <v>0</v>
      </c>
      <c r="N22" s="8">
        <v>2.08</v>
      </c>
      <c r="O22" s="8" t="s">
        <v>57</v>
      </c>
      <c r="P22" s="8">
        <v>20.8</v>
      </c>
      <c r="Q22" s="8">
        <v>0</v>
      </c>
      <c r="R22" s="8">
        <v>50</v>
      </c>
      <c r="S22" s="8" t="s">
        <v>63</v>
      </c>
      <c r="T22" s="8">
        <v>100000</v>
      </c>
      <c r="U22" s="8">
        <v>0.1</v>
      </c>
      <c r="V22" s="8">
        <v>10</v>
      </c>
      <c r="W22" s="7">
        <v>47.9</v>
      </c>
      <c r="X22" s="7">
        <v>47.9</v>
      </c>
      <c r="Y22" s="7">
        <f>ProjectRunLog[[#This Row],[Centre Temp After FRA (°C)]]-ProjectRunLog[[#This Row],[Centre Temp Before FRA (°C)]]</f>
        <v>0</v>
      </c>
      <c r="Z22" s="8"/>
      <c r="AA22" s="8"/>
      <c r="AB22" s="8"/>
      <c r="AC22" s="8"/>
      <c r="AD22" s="8"/>
      <c r="AE22" s="8">
        <v>0.17149046427391232</v>
      </c>
      <c r="AF22" s="8">
        <v>6.3186000000000006E-2</v>
      </c>
      <c r="AG22" s="8">
        <v>0.14774999999999999</v>
      </c>
      <c r="AH22" s="8">
        <v>8.0868999999999993E-3</v>
      </c>
      <c r="AI22" s="8">
        <v>0.97209000000000001</v>
      </c>
      <c r="AJ22" s="8" t="s">
        <v>56</v>
      </c>
      <c r="AK22" t="s">
        <v>151</v>
      </c>
      <c r="AL22" t="s">
        <v>148</v>
      </c>
    </row>
    <row r="23" spans="1:38">
      <c r="A23" t="s">
        <v>139</v>
      </c>
      <c r="B23" s="4">
        <v>46254</v>
      </c>
      <c r="C23" s="6">
        <v>0.65347222222222223</v>
      </c>
      <c r="D23" t="s">
        <v>74</v>
      </c>
      <c r="E23" t="s">
        <v>61</v>
      </c>
      <c r="F23" t="s">
        <v>50</v>
      </c>
      <c r="G23" t="s">
        <v>40</v>
      </c>
      <c r="H23" t="s">
        <v>52</v>
      </c>
      <c r="I23" t="s">
        <v>62</v>
      </c>
      <c r="J23" t="s">
        <v>141</v>
      </c>
      <c r="K23" t="s">
        <v>132</v>
      </c>
      <c r="L23" s="8">
        <v>20.8</v>
      </c>
      <c r="M23" s="8">
        <v>0</v>
      </c>
      <c r="N23" s="8">
        <v>2.08</v>
      </c>
      <c r="O23" s="8" t="s">
        <v>57</v>
      </c>
      <c r="P23" s="8">
        <v>20.8</v>
      </c>
      <c r="Q23" s="8">
        <v>0</v>
      </c>
      <c r="R23" s="8">
        <v>50</v>
      </c>
      <c r="S23" s="8" t="s">
        <v>63</v>
      </c>
      <c r="T23" s="8">
        <v>100000</v>
      </c>
      <c r="U23" s="8">
        <v>1</v>
      </c>
      <c r="V23" s="8">
        <v>10</v>
      </c>
      <c r="W23" s="7">
        <v>47.9</v>
      </c>
      <c r="X23" s="7">
        <v>48</v>
      </c>
      <c r="Y23" s="7">
        <f>ProjectRunLog[[#This Row],[Centre Temp After FRA (°C)]]-ProjectRunLog[[#This Row],[Centre Temp Before FRA (°C)]]</f>
        <v>0.10000000000000142</v>
      </c>
      <c r="Z23" s="8"/>
      <c r="AA23" s="8"/>
      <c r="AB23" s="8"/>
      <c r="AC23" s="8"/>
      <c r="AD23" s="8"/>
      <c r="AE23" s="8">
        <v>0.15447721709974832</v>
      </c>
      <c r="AF23" s="8">
        <v>6.3021999999999995E-2</v>
      </c>
      <c r="AG23" s="8">
        <v>0.14699999999999999</v>
      </c>
      <c r="AH23" s="8">
        <v>8.1005000000000001E-3</v>
      </c>
      <c r="AI23" s="8">
        <v>0.96694000000000002</v>
      </c>
      <c r="AJ23" s="8" t="s">
        <v>56</v>
      </c>
      <c r="AK23" t="s">
        <v>151</v>
      </c>
      <c r="AL23" t="s">
        <v>149</v>
      </c>
    </row>
    <row r="24" spans="1:38">
      <c r="A24" t="s">
        <v>140</v>
      </c>
      <c r="B24" s="4">
        <v>46254</v>
      </c>
      <c r="C24" s="6">
        <v>0.65694444444444444</v>
      </c>
      <c r="D24" t="s">
        <v>74</v>
      </c>
      <c r="E24" t="s">
        <v>61</v>
      </c>
      <c r="F24" t="s">
        <v>50</v>
      </c>
      <c r="G24" t="s">
        <v>40</v>
      </c>
      <c r="H24" t="s">
        <v>52</v>
      </c>
      <c r="I24" t="s">
        <v>62</v>
      </c>
      <c r="J24" t="s">
        <v>141</v>
      </c>
      <c r="K24" t="s">
        <v>132</v>
      </c>
      <c r="L24" s="8">
        <v>20.8</v>
      </c>
      <c r="M24" s="8">
        <v>0</v>
      </c>
      <c r="N24" s="8">
        <v>2.08</v>
      </c>
      <c r="O24" s="8" t="s">
        <v>57</v>
      </c>
      <c r="P24" s="8">
        <v>20.8</v>
      </c>
      <c r="Q24" s="8">
        <v>0</v>
      </c>
      <c r="R24" s="8">
        <v>50</v>
      </c>
      <c r="S24" s="8" t="s">
        <v>63</v>
      </c>
      <c r="T24" s="8">
        <v>100000</v>
      </c>
      <c r="U24" s="8">
        <v>10</v>
      </c>
      <c r="V24" s="8">
        <v>10</v>
      </c>
      <c r="W24" s="7">
        <v>48</v>
      </c>
      <c r="X24" s="7">
        <v>48</v>
      </c>
      <c r="Y24" s="7">
        <f>ProjectRunLog[[#This Row],[Centre Temp After FRA (°C)]]-ProjectRunLog[[#This Row],[Centre Temp Before FRA (°C)]]</f>
        <v>0</v>
      </c>
      <c r="Z24" s="8"/>
      <c r="AA24" s="8"/>
      <c r="AB24" s="8"/>
      <c r="AC24" s="8"/>
      <c r="AD24" s="8"/>
      <c r="AE24" s="8">
        <v>0.26211372416406115</v>
      </c>
      <c r="AF24" s="8">
        <v>6.3099000000000002E-2</v>
      </c>
      <c r="AG24" s="8">
        <v>0.14826</v>
      </c>
      <c r="AH24" s="8">
        <v>8.0811000000000008E-3</v>
      </c>
      <c r="AI24" s="8">
        <v>0.96465999999999996</v>
      </c>
      <c r="AJ24" s="8" t="s">
        <v>56</v>
      </c>
      <c r="AK24" t="s">
        <v>151</v>
      </c>
      <c r="AL24" t="s">
        <v>150</v>
      </c>
    </row>
    <row r="25" spans="1:38">
      <c r="A25" t="s">
        <v>152</v>
      </c>
      <c r="B25" s="4">
        <v>46254</v>
      </c>
      <c r="C25" s="6">
        <v>0.69652777777777775</v>
      </c>
      <c r="D25" t="s">
        <v>74</v>
      </c>
      <c r="E25" t="s">
        <v>68</v>
      </c>
      <c r="F25" t="s">
        <v>50</v>
      </c>
      <c r="G25" t="s">
        <v>69</v>
      </c>
      <c r="H25" t="s">
        <v>52</v>
      </c>
      <c r="I25" t="s">
        <v>62</v>
      </c>
      <c r="J25" t="s">
        <v>141</v>
      </c>
      <c r="K25" t="s">
        <v>132</v>
      </c>
      <c r="L25" s="8">
        <v>20.8</v>
      </c>
      <c r="M25" s="8">
        <v>0</v>
      </c>
      <c r="N25" s="8" t="s">
        <v>57</v>
      </c>
      <c r="O25" s="8">
        <v>0</v>
      </c>
      <c r="P25" s="8">
        <v>20.8</v>
      </c>
      <c r="Q25" s="8">
        <v>0</v>
      </c>
      <c r="R25" s="8">
        <v>85</v>
      </c>
      <c r="S25" s="8" t="s">
        <v>70</v>
      </c>
      <c r="T25" s="8">
        <v>100000</v>
      </c>
      <c r="U25" s="8">
        <v>0.1</v>
      </c>
      <c r="V25" s="8">
        <v>10</v>
      </c>
      <c r="W25" s="7">
        <v>48.5</v>
      </c>
      <c r="X25" s="7">
        <v>48.1</v>
      </c>
      <c r="Y25" s="7">
        <f>ProjectRunLog[[#This Row],[Centre Temp After FRA (°C)]]-ProjectRunLog[[#This Row],[Centre Temp Before FRA (°C)]]</f>
        <v>-0.39999999999999858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38">
      <c r="A26" t="s">
        <v>153</v>
      </c>
      <c r="B26" s="4">
        <v>46254</v>
      </c>
      <c r="C26" s="6">
        <v>0.69652777777777775</v>
      </c>
      <c r="D26" t="s">
        <v>74</v>
      </c>
      <c r="E26" t="s">
        <v>68</v>
      </c>
      <c r="F26" t="s">
        <v>50</v>
      </c>
      <c r="G26" t="s">
        <v>69</v>
      </c>
      <c r="H26" t="s">
        <v>52</v>
      </c>
      <c r="I26" t="s">
        <v>62</v>
      </c>
      <c r="J26" t="s">
        <v>141</v>
      </c>
      <c r="K26" t="s">
        <v>132</v>
      </c>
      <c r="L26" s="8">
        <v>20.8</v>
      </c>
      <c r="M26" s="8">
        <v>0</v>
      </c>
      <c r="N26" s="8" t="s">
        <v>57</v>
      </c>
      <c r="O26" s="8">
        <v>0</v>
      </c>
      <c r="P26" s="8">
        <v>20.8</v>
      </c>
      <c r="Q26" s="8">
        <v>0</v>
      </c>
      <c r="R26" s="8">
        <v>85</v>
      </c>
      <c r="S26" s="8" t="s">
        <v>70</v>
      </c>
      <c r="T26" s="8">
        <v>100000</v>
      </c>
      <c r="U26" s="8">
        <v>1</v>
      </c>
      <c r="V26" s="8">
        <v>10</v>
      </c>
      <c r="W26" s="7">
        <v>48.1</v>
      </c>
      <c r="X26" s="7">
        <v>48.1</v>
      </c>
      <c r="Y26" s="7">
        <f>ProjectRunLog[[#This Row],[Centre Temp After FRA (°C)]]-ProjectRunLog[[#This Row],[Centre Temp Before FRA (°C)]]</f>
        <v>0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spans="1:38" s="11" customFormat="1">
      <c r="A27" s="11" t="s">
        <v>154</v>
      </c>
      <c r="B27" s="12">
        <v>46255</v>
      </c>
      <c r="C27" s="13"/>
      <c r="D27" s="11" t="s">
        <v>48</v>
      </c>
      <c r="E27" s="11" t="s">
        <v>49</v>
      </c>
      <c r="F27" s="11" t="s">
        <v>50</v>
      </c>
      <c r="G27" s="11" t="s">
        <v>51</v>
      </c>
      <c r="H27" s="11" t="s">
        <v>52</v>
      </c>
      <c r="I27" s="11" t="s">
        <v>53</v>
      </c>
      <c r="J27" s="11" t="s">
        <v>166</v>
      </c>
      <c r="K27" s="11" t="s">
        <v>167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8"/>
      <c r="X27" s="18"/>
      <c r="Y27" s="18">
        <f>ProjectRunLog[[#This Row],[Centre Temp After FRA (°C)]]-ProjectRunLog[[#This Row],[Centre Temp Before FRA (°C)]]</f>
        <v>0</v>
      </c>
      <c r="Z27" s="14">
        <v>20.917152233093194</v>
      </c>
      <c r="AA27" s="14">
        <v>0.70234583705207965</v>
      </c>
      <c r="AB27" s="14">
        <v>17.96875</v>
      </c>
      <c r="AC27" s="14">
        <v>0.66162109375</v>
      </c>
      <c r="AD27" s="14">
        <v>11.888504028320312</v>
      </c>
      <c r="AE27" s="14"/>
      <c r="AF27" s="14"/>
      <c r="AG27" s="14"/>
      <c r="AH27" s="14"/>
      <c r="AI27" s="14"/>
      <c r="AJ27" s="14"/>
      <c r="AL27" s="11" t="s">
        <v>168</v>
      </c>
    </row>
    <row r="28" spans="1:38">
      <c r="A28" t="s">
        <v>155</v>
      </c>
      <c r="B28" s="4">
        <v>46255</v>
      </c>
      <c r="C28" s="6">
        <v>0.5625</v>
      </c>
      <c r="D28" t="s">
        <v>48</v>
      </c>
      <c r="E28" t="s">
        <v>61</v>
      </c>
      <c r="F28" t="s">
        <v>50</v>
      </c>
      <c r="G28" t="s">
        <v>40</v>
      </c>
      <c r="H28" t="s">
        <v>52</v>
      </c>
      <c r="I28" t="s">
        <v>62</v>
      </c>
      <c r="J28" t="s">
        <v>166</v>
      </c>
      <c r="K28" t="s">
        <v>167</v>
      </c>
      <c r="L28" s="8">
        <v>2.09</v>
      </c>
      <c r="M28" s="8">
        <v>0</v>
      </c>
      <c r="N28" s="8">
        <v>2.09</v>
      </c>
      <c r="O28" s="8" t="s">
        <v>57</v>
      </c>
      <c r="P28" s="8">
        <v>20.9</v>
      </c>
      <c r="Q28" s="8">
        <v>0</v>
      </c>
      <c r="R28" s="8">
        <v>50</v>
      </c>
      <c r="S28" s="8" t="s">
        <v>63</v>
      </c>
      <c r="T28" s="8">
        <v>100000</v>
      </c>
      <c r="U28" s="8">
        <v>1</v>
      </c>
      <c r="V28" s="8">
        <v>10</v>
      </c>
      <c r="W28" s="7">
        <v>45.6</v>
      </c>
      <c r="X28" s="7">
        <v>45.6</v>
      </c>
      <c r="Y28" s="7">
        <f>ProjectRunLog[[#This Row],[Centre Temp After FRA (°C)]]-ProjectRunLog[[#This Row],[Centre Temp Before FRA (°C)]]</f>
        <v>0</v>
      </c>
      <c r="Z28" s="8"/>
      <c r="AA28" s="8"/>
      <c r="AB28" s="8"/>
      <c r="AC28" s="8"/>
      <c r="AD28" s="8"/>
      <c r="AE28" s="8">
        <v>0.18551484431045842</v>
      </c>
      <c r="AF28" s="8">
        <v>6.6003000000000006E-2</v>
      </c>
      <c r="AG28" s="8">
        <v>0.14349000000000001</v>
      </c>
      <c r="AH28" s="8">
        <v>8.2389999999999998E-3</v>
      </c>
      <c r="AI28" s="8">
        <v>0.96960000000000002</v>
      </c>
      <c r="AJ28" s="8"/>
      <c r="AK28" t="s">
        <v>151</v>
      </c>
      <c r="AL28" t="s">
        <v>169</v>
      </c>
    </row>
    <row r="29" spans="1:38">
      <c r="A29" t="s">
        <v>156</v>
      </c>
      <c r="B29" s="4">
        <v>46255</v>
      </c>
      <c r="C29" s="6">
        <v>0.5625</v>
      </c>
      <c r="D29" t="s">
        <v>48</v>
      </c>
      <c r="E29" t="s">
        <v>68</v>
      </c>
      <c r="F29" t="s">
        <v>50</v>
      </c>
      <c r="G29" t="s">
        <v>69</v>
      </c>
      <c r="H29" t="s">
        <v>52</v>
      </c>
      <c r="I29" t="s">
        <v>62</v>
      </c>
      <c r="J29" t="s">
        <v>166</v>
      </c>
      <c r="K29" t="s">
        <v>167</v>
      </c>
      <c r="L29" s="8">
        <v>2.09</v>
      </c>
      <c r="M29" s="8">
        <v>0</v>
      </c>
      <c r="N29" s="8" t="s">
        <v>57</v>
      </c>
      <c r="O29" s="8">
        <v>0</v>
      </c>
      <c r="P29" s="8">
        <v>20.9</v>
      </c>
      <c r="Q29" s="8">
        <v>0</v>
      </c>
      <c r="R29" s="8">
        <v>85</v>
      </c>
      <c r="S29" s="8" t="s">
        <v>70</v>
      </c>
      <c r="T29" s="8">
        <v>100000</v>
      </c>
      <c r="U29" s="8">
        <v>1</v>
      </c>
      <c r="V29" s="8">
        <v>10</v>
      </c>
      <c r="W29" s="7">
        <v>45.6</v>
      </c>
      <c r="X29" s="7">
        <v>47.1</v>
      </c>
      <c r="Y29" s="7">
        <f>ProjectRunLog[[#This Row],[Centre Temp After FRA (°C)]]-ProjectRunLog[[#This Row],[Centre Temp Before FRA (°C)]]</f>
        <v>1.5</v>
      </c>
      <c r="Z29" s="8"/>
      <c r="AA29" s="8"/>
      <c r="AB29" s="8"/>
      <c r="AC29" s="8"/>
      <c r="AD29" s="8"/>
      <c r="AE29" s="8">
        <v>0.58646866223334471</v>
      </c>
      <c r="AF29" s="8">
        <v>6.6123000000000001E-2</v>
      </c>
      <c r="AG29" s="8">
        <v>0.14560000000000001</v>
      </c>
      <c r="AH29" s="8">
        <v>8.4715999999999993E-3</v>
      </c>
      <c r="AI29" s="8">
        <v>0.97384999999999999</v>
      </c>
      <c r="AJ29" s="8"/>
      <c r="AK29" t="s">
        <v>151</v>
      </c>
      <c r="AL29" t="s">
        <v>170</v>
      </c>
    </row>
    <row r="30" spans="1:38">
      <c r="A30" t="s">
        <v>157</v>
      </c>
      <c r="B30" s="4">
        <v>46255</v>
      </c>
      <c r="C30" s="6">
        <v>0.5625</v>
      </c>
      <c r="D30" t="s">
        <v>48</v>
      </c>
      <c r="E30" t="s">
        <v>61</v>
      </c>
      <c r="F30" t="s">
        <v>50</v>
      </c>
      <c r="G30" t="s">
        <v>40</v>
      </c>
      <c r="H30" t="s">
        <v>52</v>
      </c>
      <c r="I30" t="s">
        <v>163</v>
      </c>
      <c r="J30" t="s">
        <v>166</v>
      </c>
      <c r="K30" t="s">
        <v>167</v>
      </c>
      <c r="L30" s="8">
        <v>18.809999999999999</v>
      </c>
      <c r="M30" s="8">
        <v>-0.57999999999999996</v>
      </c>
      <c r="N30" s="8">
        <v>1.881</v>
      </c>
      <c r="O30" s="8" t="s">
        <v>57</v>
      </c>
      <c r="P30" s="8">
        <v>18.8</v>
      </c>
      <c r="Q30" s="8">
        <v>-0.52</v>
      </c>
      <c r="R30" s="8">
        <v>50</v>
      </c>
      <c r="S30" s="8" t="s">
        <v>63</v>
      </c>
      <c r="T30" s="8">
        <v>100000</v>
      </c>
      <c r="U30" s="8">
        <v>1</v>
      </c>
      <c r="V30" s="8">
        <v>10</v>
      </c>
      <c r="W30" s="7">
        <v>47.1</v>
      </c>
      <c r="X30" s="7">
        <v>47.5</v>
      </c>
      <c r="Y30" s="7">
        <f>ProjectRunLog[[#This Row],[Centre Temp After FRA (°C)]]-ProjectRunLog[[#This Row],[Centre Temp Before FRA (°C)]]</f>
        <v>0.39999999999999858</v>
      </c>
      <c r="Z30" s="8"/>
      <c r="AA30" s="8"/>
      <c r="AB30" s="8"/>
      <c r="AC30" s="8"/>
      <c r="AD30" s="8"/>
      <c r="AE30" s="8">
        <v>1.0802183352291939</v>
      </c>
      <c r="AF30" s="8">
        <v>7.5884999999999994E-2</v>
      </c>
      <c r="AG30" s="8">
        <v>0.70509999999999995</v>
      </c>
      <c r="AH30" s="8">
        <v>2.3054E-3</v>
      </c>
      <c r="AI30" s="8">
        <v>0.9425</v>
      </c>
      <c r="AJ30" s="8"/>
      <c r="AK30" t="s">
        <v>151</v>
      </c>
      <c r="AL30" t="s">
        <v>171</v>
      </c>
    </row>
    <row r="31" spans="1:38">
      <c r="A31" t="s">
        <v>158</v>
      </c>
      <c r="B31" s="4">
        <v>46255</v>
      </c>
      <c r="C31" s="6">
        <v>0.5625</v>
      </c>
      <c r="D31" t="s">
        <v>48</v>
      </c>
      <c r="E31" t="s">
        <v>68</v>
      </c>
      <c r="F31" t="s">
        <v>50</v>
      </c>
      <c r="G31" t="s">
        <v>69</v>
      </c>
      <c r="H31" t="s">
        <v>52</v>
      </c>
      <c r="I31" t="s">
        <v>163</v>
      </c>
      <c r="J31" t="s">
        <v>166</v>
      </c>
      <c r="K31" t="s">
        <v>167</v>
      </c>
      <c r="L31" s="8">
        <v>18.809999999999999</v>
      </c>
      <c r="M31" s="8">
        <v>-0.57999999999999996</v>
      </c>
      <c r="N31" s="8" t="s">
        <v>57</v>
      </c>
      <c r="O31" s="8">
        <v>-0.57999999999999996</v>
      </c>
      <c r="P31" s="8">
        <v>18.8</v>
      </c>
      <c r="Q31" s="8">
        <v>-0.57999999999999996</v>
      </c>
      <c r="R31" s="8">
        <v>85</v>
      </c>
      <c r="S31" s="8" t="s">
        <v>70</v>
      </c>
      <c r="T31" s="8">
        <v>100000</v>
      </c>
      <c r="U31" s="8">
        <v>1</v>
      </c>
      <c r="V31" s="8">
        <v>10</v>
      </c>
      <c r="W31" s="7">
        <v>47.5</v>
      </c>
      <c r="X31" s="7">
        <v>47.7</v>
      </c>
      <c r="Y31" s="7">
        <f>ProjectRunLog[[#This Row],[Centre Temp After FRA (°C)]]-ProjectRunLog[[#This Row],[Centre Temp Before FRA (°C)]]</f>
        <v>0.20000000000000284</v>
      </c>
      <c r="Z31" s="8"/>
      <c r="AA31" s="8"/>
      <c r="AB31" s="8"/>
      <c r="AC31" s="8"/>
      <c r="AD31" s="8"/>
      <c r="AE31" s="8">
        <v>28.572499171816037</v>
      </c>
      <c r="AF31" s="8">
        <v>6.5978999999999996E-2</v>
      </c>
      <c r="AG31" s="8">
        <v>7.4744999999999999</v>
      </c>
      <c r="AH31" s="8">
        <v>3.6328E-4</v>
      </c>
      <c r="AI31" s="8">
        <v>0.66378999999999999</v>
      </c>
      <c r="AJ31" s="8"/>
      <c r="AK31" t="s">
        <v>151</v>
      </c>
      <c r="AL31" t="s">
        <v>172</v>
      </c>
    </row>
    <row r="32" spans="1:38">
      <c r="A32" t="s">
        <v>159</v>
      </c>
      <c r="B32" s="4">
        <v>46255</v>
      </c>
      <c r="C32" s="6">
        <v>0.5625</v>
      </c>
      <c r="D32" t="s">
        <v>48</v>
      </c>
      <c r="E32" t="s">
        <v>61</v>
      </c>
      <c r="F32" t="s">
        <v>50</v>
      </c>
      <c r="G32" t="s">
        <v>40</v>
      </c>
      <c r="H32" t="s">
        <v>52</v>
      </c>
      <c r="I32" t="s">
        <v>164</v>
      </c>
      <c r="J32" t="s">
        <v>166</v>
      </c>
      <c r="K32" t="s">
        <v>167</v>
      </c>
      <c r="L32" s="8">
        <v>17.97</v>
      </c>
      <c r="M32" s="8">
        <v>-0.66200000000000003</v>
      </c>
      <c r="N32" s="8">
        <v>1.7969999999999999</v>
      </c>
      <c r="O32" s="8" t="s">
        <v>57</v>
      </c>
      <c r="P32" s="8">
        <v>17.899999999999999</v>
      </c>
      <c r="Q32" s="8">
        <v>-0.63</v>
      </c>
      <c r="R32" s="8">
        <v>50</v>
      </c>
      <c r="S32" s="8" t="s">
        <v>63</v>
      </c>
      <c r="T32" s="8">
        <v>100000</v>
      </c>
      <c r="U32" s="8">
        <v>1</v>
      </c>
      <c r="V32" s="8">
        <v>10</v>
      </c>
      <c r="W32" s="7">
        <v>47.7</v>
      </c>
      <c r="X32" s="7">
        <v>47.9</v>
      </c>
      <c r="Y32" s="7">
        <f>ProjectRunLog[[#This Row],[Centre Temp After FRA (°C)]]-ProjectRunLog[[#This Row],[Centre Temp Before FRA (°C)]]</f>
        <v>0.19999999999999574</v>
      </c>
      <c r="Z32" s="8"/>
      <c r="AA32" s="8"/>
      <c r="AB32" s="8"/>
      <c r="AC32" s="8"/>
      <c r="AD32" s="8"/>
      <c r="AE32" s="8">
        <v>5.2558984758578342</v>
      </c>
      <c r="AF32" s="8">
        <v>0.13361999999999999</v>
      </c>
      <c r="AG32" s="8">
        <v>3.3736999999999999</v>
      </c>
      <c r="AH32" s="8">
        <v>3.7115999999999999E-4</v>
      </c>
      <c r="AI32" s="8">
        <v>0.78236000000000006</v>
      </c>
      <c r="AJ32" s="8"/>
      <c r="AK32" t="s">
        <v>151</v>
      </c>
      <c r="AL32" t="s">
        <v>173</v>
      </c>
    </row>
    <row r="33" spans="1:38">
      <c r="A33" t="s">
        <v>160</v>
      </c>
      <c r="B33" s="4">
        <v>46255</v>
      </c>
      <c r="C33" s="6">
        <v>0.5625</v>
      </c>
      <c r="D33" t="s">
        <v>48</v>
      </c>
      <c r="E33" t="s">
        <v>68</v>
      </c>
      <c r="F33" t="s">
        <v>50</v>
      </c>
      <c r="G33" t="s">
        <v>69</v>
      </c>
      <c r="H33" t="s">
        <v>52</v>
      </c>
      <c r="I33" t="s">
        <v>164</v>
      </c>
      <c r="J33" t="s">
        <v>166</v>
      </c>
      <c r="K33" t="s">
        <v>167</v>
      </c>
      <c r="L33" s="8">
        <v>17.97</v>
      </c>
      <c r="M33" s="8">
        <v>-0.66200000000000003</v>
      </c>
      <c r="N33" s="8" t="s">
        <v>57</v>
      </c>
      <c r="O33" s="8">
        <v>-0.66200000000000003</v>
      </c>
      <c r="P33" s="8">
        <v>9</v>
      </c>
      <c r="Q33" s="8">
        <v>-0.66</v>
      </c>
      <c r="R33" s="8">
        <v>85</v>
      </c>
      <c r="S33" s="8" t="s">
        <v>70</v>
      </c>
      <c r="T33" s="8">
        <v>100000</v>
      </c>
      <c r="U33" s="8">
        <v>1</v>
      </c>
      <c r="V33" s="8">
        <v>10</v>
      </c>
      <c r="W33" s="7">
        <v>47.9</v>
      </c>
      <c r="X33" s="7">
        <v>47.9</v>
      </c>
      <c r="Y33" s="7">
        <f>ProjectRunLog[[#This Row],[Centre Temp After FRA (°C)]]-ProjectRunLog[[#This Row],[Centre Temp Before FRA (°C)]]</f>
        <v>0</v>
      </c>
      <c r="Z33" s="8"/>
      <c r="AA33" s="8"/>
      <c r="AB33" s="8"/>
      <c r="AC33" s="8"/>
      <c r="AD33" s="8"/>
      <c r="AE33" s="8">
        <v>11.49775568491922</v>
      </c>
      <c r="AF33" s="8">
        <v>1.7794000000000001</v>
      </c>
      <c r="AG33" s="8">
        <v>10.502000000000001</v>
      </c>
      <c r="AH33" s="8">
        <v>9.5272999999999994E-6</v>
      </c>
      <c r="AI33" s="8">
        <v>1.2818000000000001</v>
      </c>
      <c r="AJ33" s="8"/>
      <c r="AK33" t="s">
        <v>151</v>
      </c>
      <c r="AL33" t="s">
        <v>174</v>
      </c>
    </row>
    <row r="34" spans="1:38">
      <c r="A34" t="s">
        <v>161</v>
      </c>
      <c r="B34" s="4">
        <v>46255</v>
      </c>
      <c r="C34" s="6">
        <v>0.5625</v>
      </c>
      <c r="D34" t="s">
        <v>48</v>
      </c>
      <c r="E34" t="s">
        <v>61</v>
      </c>
      <c r="F34" t="s">
        <v>50</v>
      </c>
      <c r="G34" t="s">
        <v>40</v>
      </c>
      <c r="H34" t="s">
        <v>52</v>
      </c>
      <c r="I34" t="s">
        <v>165</v>
      </c>
      <c r="J34" t="s">
        <v>166</v>
      </c>
      <c r="K34" t="s">
        <v>167</v>
      </c>
      <c r="L34" s="8">
        <v>8.98</v>
      </c>
      <c r="M34" s="8">
        <v>-0.68400000000000005</v>
      </c>
      <c r="N34" s="8">
        <v>0.89800000000000002</v>
      </c>
      <c r="O34" s="8" t="s">
        <v>57</v>
      </c>
      <c r="P34" s="8">
        <v>8.9</v>
      </c>
      <c r="Q34" s="8">
        <v>-0.66</v>
      </c>
      <c r="R34" s="8">
        <v>50</v>
      </c>
      <c r="S34" s="8" t="s">
        <v>63</v>
      </c>
      <c r="T34" s="8">
        <v>100000</v>
      </c>
      <c r="U34" s="8">
        <v>1</v>
      </c>
      <c r="V34" s="8">
        <v>10</v>
      </c>
      <c r="W34" s="7">
        <v>47.9</v>
      </c>
      <c r="X34" s="7">
        <v>48</v>
      </c>
      <c r="Y34" s="7">
        <f>ProjectRunLog[[#This Row],[Centre Temp After FRA (°C)]]-ProjectRunLog[[#This Row],[Centre Temp Before FRA (°C)]]</f>
        <v>0.10000000000000142</v>
      </c>
      <c r="Z34" s="8"/>
      <c r="AA34" s="8"/>
      <c r="AB34" s="8"/>
      <c r="AC34" s="8"/>
      <c r="AD34" s="8"/>
      <c r="AE34" s="8">
        <v>3.7704671817383635</v>
      </c>
      <c r="AF34" s="8">
        <v>-3.4529999999999999E-3</v>
      </c>
      <c r="AG34" s="8">
        <v>12.154999999999999</v>
      </c>
      <c r="AH34" s="8">
        <v>6.6966999999999998E-6</v>
      </c>
      <c r="AI34" s="8">
        <v>0.96657000000000004</v>
      </c>
      <c r="AJ34" s="8"/>
      <c r="AK34" t="s">
        <v>151</v>
      </c>
      <c r="AL34" t="s">
        <v>175</v>
      </c>
    </row>
    <row r="35" spans="1:38">
      <c r="A35" t="s">
        <v>162</v>
      </c>
      <c r="B35" s="4">
        <v>46255</v>
      </c>
      <c r="C35" s="6">
        <v>0.5625</v>
      </c>
      <c r="D35" t="s">
        <v>48</v>
      </c>
      <c r="E35" t="s">
        <v>68</v>
      </c>
      <c r="F35" t="s">
        <v>50</v>
      </c>
      <c r="G35" t="s">
        <v>69</v>
      </c>
      <c r="H35" t="s">
        <v>52</v>
      </c>
      <c r="I35" t="s">
        <v>165</v>
      </c>
      <c r="J35" t="s">
        <v>166</v>
      </c>
      <c r="K35" t="s">
        <v>167</v>
      </c>
      <c r="L35" s="8">
        <v>8.98</v>
      </c>
      <c r="M35" s="8">
        <v>-0.68400000000000005</v>
      </c>
      <c r="N35" s="8" t="s">
        <v>57</v>
      </c>
      <c r="O35" s="8">
        <v>-0.68400000000000005</v>
      </c>
      <c r="P35" s="8">
        <v>4.5</v>
      </c>
      <c r="Q35" s="8">
        <v>-0.68</v>
      </c>
      <c r="R35" s="8">
        <v>85</v>
      </c>
      <c r="S35" s="8" t="s">
        <v>70</v>
      </c>
      <c r="T35" s="8">
        <v>100000</v>
      </c>
      <c r="U35" s="8">
        <v>1</v>
      </c>
      <c r="V35" s="8">
        <v>10</v>
      </c>
      <c r="W35" s="7">
        <v>48</v>
      </c>
      <c r="X35" s="7">
        <v>47.9</v>
      </c>
      <c r="Y35" s="7">
        <f>ProjectRunLog[[#This Row],[Centre Temp After FRA (°C)]]-ProjectRunLog[[#This Row],[Centre Temp Before FRA (°C)]]</f>
        <v>-0.10000000000000142</v>
      </c>
      <c r="Z35" s="8"/>
      <c r="AA35" s="8"/>
      <c r="AB35" s="8"/>
      <c r="AC35" s="8"/>
      <c r="AD35" s="8"/>
      <c r="AE35" s="8">
        <v>12.672552131522457</v>
      </c>
      <c r="AF35" s="8"/>
      <c r="AG35" s="8"/>
      <c r="AH35" s="8"/>
      <c r="AI35" s="8"/>
      <c r="AJ35" s="8"/>
      <c r="AK35" t="s">
        <v>151</v>
      </c>
      <c r="AL35" t="s">
        <v>176</v>
      </c>
    </row>
    <row r="36" spans="1:38" s="11" customFormat="1">
      <c r="A36" s="11" t="s">
        <v>177</v>
      </c>
      <c r="B36" s="12">
        <v>46260</v>
      </c>
      <c r="C36" s="13"/>
      <c r="D36" s="11" t="s">
        <v>48</v>
      </c>
      <c r="E36" s="11" t="s">
        <v>49</v>
      </c>
      <c r="F36" s="11" t="s">
        <v>50</v>
      </c>
      <c r="G36" s="11" t="s">
        <v>51</v>
      </c>
      <c r="H36" s="11" t="s">
        <v>52</v>
      </c>
      <c r="I36" s="11" t="s">
        <v>53</v>
      </c>
      <c r="J36" s="11" t="s">
        <v>192</v>
      </c>
      <c r="K36" s="11" t="s">
        <v>178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8">
        <v>46.2</v>
      </c>
      <c r="X36" s="18">
        <v>46.4</v>
      </c>
      <c r="Y36" s="18">
        <f>ProjectRunLog[[#This Row],[Centre Temp After FRA (°C)]]-ProjectRunLog[[#This Row],[Centre Temp Before FRA (°C)]]</f>
        <v>0.19999999999999574</v>
      </c>
      <c r="Z36" s="14">
        <v>20.847045444644518</v>
      </c>
      <c r="AA36" s="14">
        <v>0.64497591513176344</v>
      </c>
      <c r="AB36" s="14">
        <v>18.017578125</v>
      </c>
      <c r="AC36" s="14">
        <v>0.6024169921875</v>
      </c>
      <c r="AD36" s="14">
        <v>10.854095220565796</v>
      </c>
      <c r="AE36" s="14"/>
      <c r="AF36" s="14"/>
      <c r="AG36" s="14"/>
      <c r="AH36" s="14"/>
      <c r="AI36" s="14"/>
      <c r="AJ36" s="14"/>
      <c r="AL36" s="11" t="s">
        <v>193</v>
      </c>
    </row>
    <row r="37" spans="1:38">
      <c r="A37" t="s">
        <v>179</v>
      </c>
      <c r="B37" s="4">
        <v>46260</v>
      </c>
      <c r="C37" s="6"/>
      <c r="D37" t="s">
        <v>48</v>
      </c>
      <c r="E37" t="s">
        <v>61</v>
      </c>
      <c r="F37" t="s">
        <v>50</v>
      </c>
      <c r="G37" t="s">
        <v>40</v>
      </c>
      <c r="H37" t="s">
        <v>52</v>
      </c>
      <c r="I37" t="s">
        <v>62</v>
      </c>
      <c r="J37" t="s">
        <v>192</v>
      </c>
      <c r="K37" t="s">
        <v>178</v>
      </c>
      <c r="L37" s="8">
        <v>20.8</v>
      </c>
      <c r="M37" s="8">
        <v>0</v>
      </c>
      <c r="N37" s="8">
        <v>2.08</v>
      </c>
      <c r="O37" s="8" t="s">
        <v>57</v>
      </c>
      <c r="P37" s="8">
        <v>20.8</v>
      </c>
      <c r="Q37" s="8">
        <v>0</v>
      </c>
      <c r="R37" s="8">
        <v>50</v>
      </c>
      <c r="S37" s="8" t="s">
        <v>63</v>
      </c>
      <c r="T37" s="8">
        <v>100000</v>
      </c>
      <c r="U37" s="8">
        <v>1</v>
      </c>
      <c r="V37" s="8">
        <v>10</v>
      </c>
      <c r="W37" s="7">
        <v>46.4</v>
      </c>
      <c r="X37" s="7">
        <v>47.3</v>
      </c>
      <c r="Y37" s="7">
        <f>ProjectRunLog[[#This Row],[Centre Temp After FRA (°C)]]-ProjectRunLog[[#This Row],[Centre Temp Before FRA (°C)]]</f>
        <v>0.89999999999999858</v>
      </c>
      <c r="Z37" s="8"/>
      <c r="AA37" s="8"/>
      <c r="AB37" s="8"/>
      <c r="AC37" s="8"/>
      <c r="AD37" s="8"/>
      <c r="AE37" s="8">
        <v>0.20381695359396132</v>
      </c>
      <c r="AF37" s="8">
        <v>6.5500000000000003E-2</v>
      </c>
      <c r="AG37" s="8">
        <v>0.15925</v>
      </c>
      <c r="AH37" s="8">
        <v>7.7196000000000001E-3</v>
      </c>
      <c r="AI37" s="8">
        <v>0.96543000000000001</v>
      </c>
      <c r="AJ37" s="8"/>
      <c r="AK37" t="s">
        <v>151</v>
      </c>
      <c r="AL37" t="s">
        <v>195</v>
      </c>
    </row>
    <row r="38" spans="1:38">
      <c r="A38" t="s">
        <v>180</v>
      </c>
      <c r="B38" s="4">
        <v>46260</v>
      </c>
      <c r="C38" s="6"/>
      <c r="D38" t="s">
        <v>48</v>
      </c>
      <c r="E38" t="s">
        <v>68</v>
      </c>
      <c r="F38" t="s">
        <v>50</v>
      </c>
      <c r="G38" t="s">
        <v>69</v>
      </c>
      <c r="H38" t="s">
        <v>52</v>
      </c>
      <c r="I38" t="s">
        <v>62</v>
      </c>
      <c r="J38" t="s">
        <v>192</v>
      </c>
      <c r="K38" t="s">
        <v>178</v>
      </c>
      <c r="L38" s="8">
        <v>20.8</v>
      </c>
      <c r="M38" s="8">
        <v>0</v>
      </c>
      <c r="N38" s="8" t="s">
        <v>57</v>
      </c>
      <c r="O38" s="8">
        <v>0</v>
      </c>
      <c r="P38" s="8">
        <v>20.8</v>
      </c>
      <c r="Q38" s="8">
        <v>0</v>
      </c>
      <c r="R38" s="8">
        <v>85</v>
      </c>
      <c r="S38" s="8" t="s">
        <v>70</v>
      </c>
      <c r="T38" s="8">
        <v>100000</v>
      </c>
      <c r="U38" s="8">
        <v>1</v>
      </c>
      <c r="V38" s="8">
        <v>10</v>
      </c>
      <c r="W38" s="7">
        <v>47.4</v>
      </c>
      <c r="X38" s="7">
        <v>47.5</v>
      </c>
      <c r="Y38" s="7">
        <f>ProjectRunLog[[#This Row],[Centre Temp After FRA (°C)]]-ProjectRunLog[[#This Row],[Centre Temp Before FRA (°C)]]</f>
        <v>0.10000000000000142</v>
      </c>
      <c r="Z38" s="8"/>
      <c r="AA38" s="8"/>
      <c r="AB38" s="8"/>
      <c r="AC38" s="8"/>
      <c r="AD38" s="8"/>
      <c r="AE38" s="8">
        <v>0.47188490170983477</v>
      </c>
      <c r="AF38" s="8">
        <v>6.5814999999999999E-2</v>
      </c>
      <c r="AG38" s="8">
        <v>0.1583</v>
      </c>
      <c r="AH38" s="8">
        <v>8.1075000000000001E-3</v>
      </c>
      <c r="AI38" s="8">
        <v>0.97369000000000006</v>
      </c>
      <c r="AJ38" s="8"/>
      <c r="AK38" t="s">
        <v>151</v>
      </c>
      <c r="AL38" t="s">
        <v>196</v>
      </c>
    </row>
    <row r="39" spans="1:38">
      <c r="A39" t="s">
        <v>181</v>
      </c>
      <c r="B39" s="4">
        <v>46260</v>
      </c>
      <c r="C39" s="6"/>
      <c r="D39" t="s">
        <v>48</v>
      </c>
      <c r="E39" t="s">
        <v>61</v>
      </c>
      <c r="F39" t="s">
        <v>50</v>
      </c>
      <c r="G39" t="s">
        <v>40</v>
      </c>
      <c r="H39" t="s">
        <v>52</v>
      </c>
      <c r="I39" t="s">
        <v>163</v>
      </c>
      <c r="J39" t="s">
        <v>192</v>
      </c>
      <c r="K39" t="s">
        <v>178</v>
      </c>
      <c r="L39" s="8">
        <v>18.72</v>
      </c>
      <c r="M39" s="8">
        <v>-0.54400000000000004</v>
      </c>
      <c r="N39" s="8">
        <v>1.8720000000000001</v>
      </c>
      <c r="O39" s="8" t="s">
        <v>57</v>
      </c>
      <c r="P39" s="8">
        <v>18.7</v>
      </c>
      <c r="Q39" s="8">
        <v>-0.55000000000000004</v>
      </c>
      <c r="R39" s="8">
        <v>50</v>
      </c>
      <c r="S39" s="8" t="s">
        <v>63</v>
      </c>
      <c r="T39" s="8">
        <v>100000</v>
      </c>
      <c r="U39" s="8">
        <v>1</v>
      </c>
      <c r="V39" s="8">
        <v>10</v>
      </c>
      <c r="W39" s="7">
        <v>47.5</v>
      </c>
      <c r="X39" s="7">
        <v>47.5</v>
      </c>
      <c r="Y39" s="7">
        <f>ProjectRunLog[[#This Row],[Centre Temp After FRA (°C)]]-ProjectRunLog[[#This Row],[Centre Temp Before FRA (°C)]]</f>
        <v>0</v>
      </c>
      <c r="Z39" s="8"/>
      <c r="AA39" s="8"/>
      <c r="AB39" s="8"/>
      <c r="AC39" s="8"/>
      <c r="AD39" s="8"/>
      <c r="AE39" s="8">
        <v>1.7961976580767161</v>
      </c>
      <c r="AF39" s="8">
        <v>7.2236999999999996E-2</v>
      </c>
      <c r="AG39" s="8">
        <v>0.79803000000000002</v>
      </c>
      <c r="AH39" s="8">
        <v>2.1733999999999998E-3</v>
      </c>
      <c r="AI39" s="8">
        <v>0.90171000000000001</v>
      </c>
      <c r="AJ39" s="8"/>
      <c r="AK39" t="s">
        <v>151</v>
      </c>
      <c r="AL39" t="s">
        <v>197</v>
      </c>
    </row>
    <row r="40" spans="1:38">
      <c r="A40" t="s">
        <v>182</v>
      </c>
      <c r="B40" s="4">
        <v>46260</v>
      </c>
      <c r="C40" s="6"/>
      <c r="D40" t="s">
        <v>48</v>
      </c>
      <c r="E40" t="s">
        <v>61</v>
      </c>
      <c r="F40" t="s">
        <v>50</v>
      </c>
      <c r="G40" t="s">
        <v>40</v>
      </c>
      <c r="H40" t="s">
        <v>52</v>
      </c>
      <c r="I40" t="s">
        <v>163</v>
      </c>
      <c r="J40" t="s">
        <v>192</v>
      </c>
      <c r="K40" t="s">
        <v>178</v>
      </c>
      <c r="L40" s="8">
        <v>18.72</v>
      </c>
      <c r="M40" s="8">
        <v>-0.54400000000000004</v>
      </c>
      <c r="N40" s="8">
        <v>1.8720000000000001</v>
      </c>
      <c r="O40" s="8" t="s">
        <v>57</v>
      </c>
      <c r="P40" s="8">
        <v>18.7</v>
      </c>
      <c r="Q40" s="8">
        <v>-0.55000000000000004</v>
      </c>
      <c r="R40" s="8">
        <v>20</v>
      </c>
      <c r="S40" s="8" t="s">
        <v>63</v>
      </c>
      <c r="T40" s="8">
        <v>100000</v>
      </c>
      <c r="U40" s="8">
        <v>1</v>
      </c>
      <c r="V40" s="8">
        <v>10</v>
      </c>
      <c r="W40" s="7">
        <v>47.5</v>
      </c>
      <c r="X40" s="7">
        <v>47.6</v>
      </c>
      <c r="Y40" s="7">
        <f>ProjectRunLog[[#This Row],[Centre Temp After FRA (°C)]]-ProjectRunLog[[#This Row],[Centre Temp Before FRA (°C)]]</f>
        <v>0.10000000000000142</v>
      </c>
      <c r="Z40" s="8"/>
      <c r="AA40" s="8"/>
      <c r="AB40" s="8"/>
      <c r="AC40" s="8"/>
      <c r="AD40" s="8"/>
      <c r="AE40" s="8">
        <v>1.7781561132549077</v>
      </c>
      <c r="AF40" s="8">
        <v>7.5003E-2</v>
      </c>
      <c r="AG40" s="8">
        <v>0.78478000000000003</v>
      </c>
      <c r="AH40" s="8">
        <v>1.9036000000000001E-3</v>
      </c>
      <c r="AI40" s="8">
        <v>0.97345000000000004</v>
      </c>
      <c r="AJ40" s="8"/>
      <c r="AK40" t="s">
        <v>151</v>
      </c>
      <c r="AL40" t="s">
        <v>198</v>
      </c>
    </row>
    <row r="41" spans="1:38">
      <c r="A41" t="s">
        <v>183</v>
      </c>
      <c r="B41" s="4">
        <v>46260</v>
      </c>
      <c r="C41" s="6"/>
      <c r="D41" t="s">
        <v>48</v>
      </c>
      <c r="E41" t="s">
        <v>61</v>
      </c>
      <c r="F41" t="s">
        <v>50</v>
      </c>
      <c r="G41" t="s">
        <v>40</v>
      </c>
      <c r="H41" t="s">
        <v>52</v>
      </c>
      <c r="I41" t="s">
        <v>163</v>
      </c>
      <c r="J41" t="s">
        <v>192</v>
      </c>
      <c r="K41" t="s">
        <v>178</v>
      </c>
      <c r="L41" s="8">
        <v>18.72</v>
      </c>
      <c r="M41" s="8">
        <v>-0.54400000000000004</v>
      </c>
      <c r="N41" s="8">
        <v>1.8720000000000001</v>
      </c>
      <c r="O41" s="8" t="s">
        <v>57</v>
      </c>
      <c r="P41" s="8">
        <v>18.7</v>
      </c>
      <c r="Q41" s="8">
        <v>-0.55000000000000004</v>
      </c>
      <c r="R41" s="8">
        <v>10</v>
      </c>
      <c r="S41" s="8" t="s">
        <v>63</v>
      </c>
      <c r="T41" s="8">
        <v>100000</v>
      </c>
      <c r="U41" s="8">
        <v>1</v>
      </c>
      <c r="V41" s="8">
        <v>10</v>
      </c>
      <c r="W41" s="7">
        <v>47.6</v>
      </c>
      <c r="X41" s="7">
        <v>47.5</v>
      </c>
      <c r="Y41" s="7">
        <f>ProjectRunLog[[#This Row],[Centre Temp After FRA (°C)]]-ProjectRunLog[[#This Row],[Centre Temp Before FRA (°C)]]</f>
        <v>-0.10000000000000142</v>
      </c>
      <c r="Z41" s="8"/>
      <c r="AA41" s="8"/>
      <c r="AB41" s="8"/>
      <c r="AC41" s="8"/>
      <c r="AD41" s="8"/>
      <c r="AE41" s="8">
        <v>0.96693175967405398</v>
      </c>
      <c r="AF41" s="8">
        <v>7.1056999999999995E-2</v>
      </c>
      <c r="AG41" s="8">
        <v>0.77793999999999996</v>
      </c>
      <c r="AH41" s="8">
        <v>1.6232E-2</v>
      </c>
      <c r="AI41" s="8">
        <v>0.94794</v>
      </c>
      <c r="AJ41" s="8"/>
      <c r="AK41" t="s">
        <v>151</v>
      </c>
      <c r="AL41" t="s">
        <v>200</v>
      </c>
    </row>
    <row r="42" spans="1:38">
      <c r="A42" t="s">
        <v>184</v>
      </c>
      <c r="B42" s="4">
        <v>46260</v>
      </c>
      <c r="C42" s="6"/>
      <c r="D42" t="s">
        <v>74</v>
      </c>
      <c r="E42" t="s">
        <v>61</v>
      </c>
      <c r="F42" t="s">
        <v>50</v>
      </c>
      <c r="G42" t="s">
        <v>40</v>
      </c>
      <c r="H42" t="s">
        <v>52</v>
      </c>
      <c r="I42" t="s">
        <v>163</v>
      </c>
      <c r="J42" t="s">
        <v>192</v>
      </c>
      <c r="K42" t="s">
        <v>178</v>
      </c>
      <c r="L42" s="8">
        <v>18.72</v>
      </c>
      <c r="M42" s="8">
        <v>-0.54400000000000004</v>
      </c>
      <c r="N42" s="8"/>
      <c r="O42" s="8" t="s">
        <v>57</v>
      </c>
      <c r="P42" s="8">
        <v>18.7</v>
      </c>
      <c r="Q42" s="8">
        <v>-0.53</v>
      </c>
      <c r="R42" s="8">
        <v>20</v>
      </c>
      <c r="S42" s="8" t="s">
        <v>63</v>
      </c>
      <c r="T42" s="8">
        <v>100000</v>
      </c>
      <c r="U42" s="8">
        <v>1</v>
      </c>
      <c r="V42" s="8">
        <v>10</v>
      </c>
      <c r="W42" s="7">
        <v>47.5</v>
      </c>
      <c r="X42" s="7">
        <v>47.5</v>
      </c>
      <c r="Y42" s="7">
        <f>ProjectRunLog[[#This Row],[Centre Temp After FRA (°C)]]-ProjectRunLog[[#This Row],[Centre Temp Before FRA (°C)]]</f>
        <v>0</v>
      </c>
      <c r="Z42" s="8"/>
      <c r="AA42" s="8"/>
      <c r="AB42" s="8"/>
      <c r="AC42" s="8"/>
      <c r="AD42" s="8"/>
      <c r="AE42" s="8">
        <v>0.61655979730331845</v>
      </c>
      <c r="AF42" s="8">
        <v>7.1759000000000003E-2</v>
      </c>
      <c r="AG42" s="8">
        <v>0.75897999999999999</v>
      </c>
      <c r="AH42" s="8">
        <v>2.3513000000000002E-3</v>
      </c>
      <c r="AI42" s="8">
        <v>0.94989999999999997</v>
      </c>
      <c r="AJ42" s="8"/>
      <c r="AK42" t="s">
        <v>151</v>
      </c>
      <c r="AL42" t="s">
        <v>199</v>
      </c>
    </row>
    <row r="43" spans="1:38">
      <c r="A43" t="s">
        <v>185</v>
      </c>
      <c r="B43" s="4">
        <v>46260</v>
      </c>
      <c r="C43" s="6"/>
      <c r="D43" t="s">
        <v>48</v>
      </c>
      <c r="E43" t="s">
        <v>68</v>
      </c>
      <c r="F43" t="s">
        <v>50</v>
      </c>
      <c r="G43" t="s">
        <v>69</v>
      </c>
      <c r="H43" t="s">
        <v>52</v>
      </c>
      <c r="I43" t="s">
        <v>163</v>
      </c>
      <c r="J43" t="s">
        <v>192</v>
      </c>
      <c r="K43" t="s">
        <v>178</v>
      </c>
      <c r="L43" s="8">
        <v>18.72</v>
      </c>
      <c r="M43" s="8">
        <v>-0.54400000000000004</v>
      </c>
      <c r="N43" s="8" t="s">
        <v>57</v>
      </c>
      <c r="O43" s="8">
        <v>-0.55000000000000004</v>
      </c>
      <c r="P43" s="8">
        <v>18.600000000000001</v>
      </c>
      <c r="Q43" s="8">
        <v>-0.55000000000000004</v>
      </c>
      <c r="R43" s="8">
        <v>85</v>
      </c>
      <c r="S43" s="8" t="s">
        <v>70</v>
      </c>
      <c r="T43" s="8">
        <v>100000</v>
      </c>
      <c r="U43" s="8">
        <v>1</v>
      </c>
      <c r="V43" s="8">
        <v>10</v>
      </c>
      <c r="W43" s="7">
        <v>47.5</v>
      </c>
      <c r="X43" s="7">
        <v>47.5</v>
      </c>
      <c r="Y43" s="7">
        <f>ProjectRunLog[[#This Row],[Centre Temp After FRA (°C)]]-ProjectRunLog[[#This Row],[Centre Temp Before FRA (°C)]]</f>
        <v>0</v>
      </c>
      <c r="Z43" s="8"/>
      <c r="AA43" s="8"/>
      <c r="AB43" s="8"/>
      <c r="AC43" s="8"/>
      <c r="AD43" s="8"/>
      <c r="AE43" s="8">
        <v>32.686633389608097</v>
      </c>
      <c r="AF43" s="8">
        <v>0.1938</v>
      </c>
      <c r="AG43" s="8">
        <v>8.9862000000000002</v>
      </c>
      <c r="AH43" s="8">
        <v>2.1856999999999999E-4</v>
      </c>
      <c r="AI43" s="8">
        <v>0.87994000000000006</v>
      </c>
      <c r="AJ43" s="8"/>
      <c r="AK43" t="s">
        <v>151</v>
      </c>
      <c r="AL43" t="s">
        <v>201</v>
      </c>
    </row>
    <row r="44" spans="1:38">
      <c r="A44" t="s">
        <v>186</v>
      </c>
      <c r="B44" s="4">
        <v>46260</v>
      </c>
      <c r="C44" s="6"/>
      <c r="D44" t="s">
        <v>48</v>
      </c>
      <c r="E44" t="s">
        <v>68</v>
      </c>
      <c r="F44" t="s">
        <v>50</v>
      </c>
      <c r="G44" t="s">
        <v>69</v>
      </c>
      <c r="H44" t="s">
        <v>52</v>
      </c>
      <c r="I44" t="s">
        <v>163</v>
      </c>
      <c r="J44" t="s">
        <v>192</v>
      </c>
      <c r="K44" t="s">
        <v>178</v>
      </c>
      <c r="L44" s="8">
        <v>18.72</v>
      </c>
      <c r="M44" s="8">
        <v>-0.54400000000000004</v>
      </c>
      <c r="N44" s="8" t="s">
        <v>57</v>
      </c>
      <c r="O44" s="8">
        <v>-0.55000000000000004</v>
      </c>
      <c r="P44" s="8">
        <v>18.7</v>
      </c>
      <c r="Q44" s="8">
        <v>-0.55000000000000004</v>
      </c>
      <c r="R44" s="8">
        <v>30</v>
      </c>
      <c r="S44" s="8" t="s">
        <v>70</v>
      </c>
      <c r="T44" s="8">
        <v>100000</v>
      </c>
      <c r="U44" s="8">
        <v>1</v>
      </c>
      <c r="V44" s="8">
        <v>10</v>
      </c>
      <c r="W44" s="7">
        <v>47.5</v>
      </c>
      <c r="X44" s="7">
        <v>47.5</v>
      </c>
      <c r="Y44" s="7">
        <f>ProjectRunLog[[#This Row],[Centre Temp After FRA (°C)]]-ProjectRunLog[[#This Row],[Centre Temp Before FRA (°C)]]</f>
        <v>0</v>
      </c>
      <c r="Z44" s="8"/>
      <c r="AA44" s="8"/>
      <c r="AB44" s="8"/>
      <c r="AC44" s="8"/>
      <c r="AD44" s="8"/>
      <c r="AE44" s="8">
        <v>1.6325462452123671</v>
      </c>
      <c r="AF44" s="8">
        <v>7.0860999999999993E-2</v>
      </c>
      <c r="AG44" s="8">
        <v>0.89439000000000002</v>
      </c>
      <c r="AH44" s="8">
        <v>1.7301E-3</v>
      </c>
      <c r="AI44" s="8">
        <v>0.91274999999999995</v>
      </c>
      <c r="AJ44" s="8"/>
      <c r="AK44" t="s">
        <v>151</v>
      </c>
      <c r="AL44" t="s">
        <v>202</v>
      </c>
    </row>
    <row r="45" spans="1:38">
      <c r="A45" t="s">
        <v>187</v>
      </c>
      <c r="B45" s="4">
        <v>46260</v>
      </c>
      <c r="C45" s="6"/>
      <c r="D45" t="s">
        <v>48</v>
      </c>
      <c r="E45" t="s">
        <v>68</v>
      </c>
      <c r="F45" t="s">
        <v>50</v>
      </c>
      <c r="G45" t="s">
        <v>69</v>
      </c>
      <c r="H45" t="s">
        <v>52</v>
      </c>
      <c r="I45" t="s">
        <v>163</v>
      </c>
      <c r="J45" t="s">
        <v>192</v>
      </c>
      <c r="K45" t="s">
        <v>178</v>
      </c>
      <c r="L45" s="8">
        <v>18.72</v>
      </c>
      <c r="M45" s="8">
        <v>-0.54400000000000004</v>
      </c>
      <c r="N45" s="8" t="s">
        <v>57</v>
      </c>
      <c r="O45" s="8">
        <v>-0.55000000000000004</v>
      </c>
      <c r="P45" s="8">
        <v>18.7</v>
      </c>
      <c r="Q45" s="8">
        <v>-0.54</v>
      </c>
      <c r="R45" s="8">
        <v>20</v>
      </c>
      <c r="S45" s="8" t="s">
        <v>70</v>
      </c>
      <c r="T45" s="8">
        <v>100000</v>
      </c>
      <c r="U45" s="8">
        <v>1</v>
      </c>
      <c r="V45" s="8">
        <v>10</v>
      </c>
      <c r="W45" s="7">
        <v>47.5</v>
      </c>
      <c r="X45" s="7">
        <v>47.5</v>
      </c>
      <c r="Y45" s="7">
        <f>ProjectRunLog[[#This Row],[Centre Temp After FRA (°C)]]-ProjectRunLog[[#This Row],[Centre Temp Before FRA (°C)]]</f>
        <v>0</v>
      </c>
      <c r="Z45" s="8"/>
      <c r="AA45" s="8"/>
      <c r="AB45" s="8"/>
      <c r="AC45" s="8"/>
      <c r="AD45" s="8"/>
      <c r="AE45" s="8">
        <v>1.364513579178398</v>
      </c>
      <c r="AF45" s="8">
        <v>7.0577000000000001E-2</v>
      </c>
      <c r="AG45" s="8">
        <v>0.79188999999999998</v>
      </c>
      <c r="AH45" s="8">
        <v>1.8768000000000001E-3</v>
      </c>
      <c r="AI45" s="8">
        <v>0.94360999999999995</v>
      </c>
      <c r="AJ45" s="8"/>
      <c r="AK45" t="s">
        <v>151</v>
      </c>
      <c r="AL45" t="s">
        <v>203</v>
      </c>
    </row>
    <row r="46" spans="1:38">
      <c r="A46" t="s">
        <v>188</v>
      </c>
      <c r="B46" s="4">
        <v>46260</v>
      </c>
      <c r="C46" s="6"/>
      <c r="D46" t="s">
        <v>74</v>
      </c>
      <c r="E46" t="s">
        <v>68</v>
      </c>
      <c r="F46" t="s">
        <v>50</v>
      </c>
      <c r="G46" t="s">
        <v>69</v>
      </c>
      <c r="H46" t="s">
        <v>52</v>
      </c>
      <c r="I46" t="s">
        <v>163</v>
      </c>
      <c r="J46" t="s">
        <v>192</v>
      </c>
      <c r="K46" t="s">
        <v>178</v>
      </c>
      <c r="L46" s="8">
        <v>18.72</v>
      </c>
      <c r="M46" s="8">
        <v>-0.54400000000000004</v>
      </c>
      <c r="N46" s="8" t="s">
        <v>57</v>
      </c>
      <c r="O46" s="8">
        <v>-0.55000000000000004</v>
      </c>
      <c r="P46" s="8">
        <v>18.600000000000001</v>
      </c>
      <c r="Q46" s="8">
        <v>-0.54</v>
      </c>
      <c r="R46" s="8">
        <v>20</v>
      </c>
      <c r="S46" s="8" t="s">
        <v>70</v>
      </c>
      <c r="T46" s="8">
        <v>100000</v>
      </c>
      <c r="U46" s="8">
        <v>1</v>
      </c>
      <c r="V46" s="8">
        <v>10</v>
      </c>
      <c r="W46" s="7">
        <v>47.5</v>
      </c>
      <c r="X46" s="7">
        <v>47.5</v>
      </c>
      <c r="Y46" s="7">
        <f>ProjectRunLog[[#This Row],[Centre Temp After FRA (°C)]]-ProjectRunLog[[#This Row],[Centre Temp Before FRA (°C)]]</f>
        <v>0</v>
      </c>
      <c r="Z46" s="8"/>
      <c r="AA46" s="8"/>
      <c r="AB46" s="8"/>
      <c r="AC46" s="8"/>
      <c r="AD46" s="8"/>
      <c r="AE46" s="8">
        <v>1.2938485547322567</v>
      </c>
      <c r="AF46" s="8">
        <v>7.0211999999999997E-2</v>
      </c>
      <c r="AG46" s="8">
        <v>0.83538999999999997</v>
      </c>
      <c r="AH46" s="8">
        <v>2.2030000000000001E-3</v>
      </c>
      <c r="AI46" s="8">
        <v>0.93923999999999996</v>
      </c>
      <c r="AJ46" s="8"/>
      <c r="AK46" t="s">
        <v>151</v>
      </c>
      <c r="AL46" t="s">
        <v>204</v>
      </c>
    </row>
    <row r="47" spans="1:38" s="11" customFormat="1">
      <c r="A47" s="11" t="s">
        <v>189</v>
      </c>
      <c r="B47" s="12">
        <v>46260</v>
      </c>
      <c r="C47" s="13"/>
      <c r="D47" s="11" t="s">
        <v>74</v>
      </c>
      <c r="E47" s="11" t="s">
        <v>49</v>
      </c>
      <c r="F47" s="11" t="s">
        <v>50</v>
      </c>
      <c r="G47" s="11" t="s">
        <v>51</v>
      </c>
      <c r="H47" s="11" t="s">
        <v>52</v>
      </c>
      <c r="I47" s="11" t="s">
        <v>75</v>
      </c>
      <c r="J47" s="11" t="s">
        <v>192</v>
      </c>
      <c r="K47" s="11" t="s">
        <v>178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8">
        <v>47.5</v>
      </c>
      <c r="X47" s="18">
        <v>47.5</v>
      </c>
      <c r="Y47" s="18">
        <f>ProjectRunLog[[#This Row],[Centre Temp After FRA (°C)]]-ProjectRunLog[[#This Row],[Centre Temp Before FRA (°C)]]</f>
        <v>0</v>
      </c>
      <c r="Z47" s="14">
        <v>20.754137836424519</v>
      </c>
      <c r="AA47" s="14">
        <v>0.64923893649383035</v>
      </c>
      <c r="AB47" s="14">
        <v>18.0389404296875</v>
      </c>
      <c r="AC47" s="14">
        <v>0.6011962890625</v>
      </c>
      <c r="AD47" s="14">
        <v>10.844944044947624</v>
      </c>
      <c r="AE47" s="14"/>
      <c r="AF47" s="14"/>
      <c r="AG47" s="14"/>
      <c r="AH47" s="14"/>
      <c r="AI47" s="14"/>
      <c r="AJ47" s="14"/>
      <c r="AL47" s="11" t="s">
        <v>194</v>
      </c>
    </row>
    <row r="48" spans="1:38">
      <c r="A48" t="s">
        <v>190</v>
      </c>
      <c r="B48" s="4">
        <v>46260</v>
      </c>
      <c r="C48" s="6"/>
      <c r="D48" t="s">
        <v>48</v>
      </c>
      <c r="E48" t="s">
        <v>61</v>
      </c>
      <c r="F48" t="s">
        <v>50</v>
      </c>
      <c r="G48" t="s">
        <v>40</v>
      </c>
      <c r="H48" t="s">
        <v>52</v>
      </c>
      <c r="I48" t="s">
        <v>164</v>
      </c>
      <c r="J48" t="s">
        <v>192</v>
      </c>
      <c r="K48" t="s">
        <v>178</v>
      </c>
      <c r="L48" s="8">
        <v>18.039000000000001</v>
      </c>
      <c r="M48" s="8">
        <v>-0.60099999999999998</v>
      </c>
      <c r="N48" s="8">
        <v>1.8039000000000001</v>
      </c>
      <c r="O48" s="8" t="s">
        <v>57</v>
      </c>
      <c r="P48" s="8">
        <v>18</v>
      </c>
      <c r="Q48" s="8">
        <v>-0.59</v>
      </c>
      <c r="R48" s="8">
        <v>20</v>
      </c>
      <c r="S48" s="8" t="s">
        <v>63</v>
      </c>
      <c r="T48" s="8">
        <v>100000</v>
      </c>
      <c r="U48" s="8">
        <v>1</v>
      </c>
      <c r="V48" s="8">
        <v>10</v>
      </c>
      <c r="W48" s="7">
        <v>47.5</v>
      </c>
      <c r="X48" s="7">
        <v>47.5</v>
      </c>
      <c r="Y48" s="7">
        <f>ProjectRunLog[[#This Row],[Centre Temp After FRA (°C)]]-ProjectRunLog[[#This Row],[Centre Temp Before FRA (°C)]]</f>
        <v>0</v>
      </c>
      <c r="Z48" s="8"/>
      <c r="AA48" s="8"/>
      <c r="AB48" s="8"/>
      <c r="AC48" s="8"/>
      <c r="AD48" s="8"/>
      <c r="AE48" s="8">
        <v>6.7777279943049429</v>
      </c>
      <c r="AF48" s="8">
        <v>0.11405</v>
      </c>
      <c r="AG48" s="8">
        <v>2.6692</v>
      </c>
      <c r="AH48" s="8">
        <v>3.0911000000000003E-4</v>
      </c>
      <c r="AI48" s="8">
        <v>0.80654000000000003</v>
      </c>
      <c r="AJ48" s="8"/>
      <c r="AK48" t="s">
        <v>151</v>
      </c>
      <c r="AL48" t="s">
        <v>205</v>
      </c>
    </row>
    <row r="49" spans="1:38">
      <c r="A49" t="s">
        <v>191</v>
      </c>
      <c r="B49" s="4">
        <v>46260</v>
      </c>
      <c r="C49" s="6"/>
      <c r="D49" t="s">
        <v>48</v>
      </c>
      <c r="E49" t="s">
        <v>61</v>
      </c>
      <c r="F49" t="s">
        <v>50</v>
      </c>
      <c r="G49" t="s">
        <v>40</v>
      </c>
      <c r="H49" t="s">
        <v>52</v>
      </c>
      <c r="I49" t="s">
        <v>164</v>
      </c>
      <c r="J49" t="s">
        <v>192</v>
      </c>
      <c r="K49" t="s">
        <v>178</v>
      </c>
      <c r="L49" s="8">
        <v>18.039000000000001</v>
      </c>
      <c r="M49" s="8">
        <v>-0.60099999999999998</v>
      </c>
      <c r="N49" s="8">
        <v>18.04</v>
      </c>
      <c r="O49" s="8" t="s">
        <v>57</v>
      </c>
      <c r="P49" s="8">
        <v>18</v>
      </c>
      <c r="Q49" s="8">
        <v>-0.59</v>
      </c>
      <c r="R49" s="8">
        <v>10</v>
      </c>
      <c r="S49" s="8" t="s">
        <v>63</v>
      </c>
      <c r="T49" s="8">
        <v>100000</v>
      </c>
      <c r="U49" s="8">
        <v>1</v>
      </c>
      <c r="V49" s="8">
        <v>10</v>
      </c>
      <c r="W49" s="7"/>
      <c r="X49" s="7"/>
      <c r="Y49" s="7">
        <f>ProjectRunLog[[#This Row],[Centre Temp After FRA (°C)]]-ProjectRunLog[[#This Row],[Centre Temp Before FRA (°C)]]</f>
        <v>0</v>
      </c>
      <c r="Z49" s="8"/>
      <c r="AA49" s="8"/>
      <c r="AB49" s="8"/>
      <c r="AC49" s="8"/>
      <c r="AD49" s="8"/>
      <c r="AE49" s="8">
        <v>4.359440326327972</v>
      </c>
      <c r="AF49" s="8">
        <v>8.7905999999999998E-2</v>
      </c>
      <c r="AG49" s="8">
        <v>2.7656999999999998</v>
      </c>
      <c r="AH49" s="8">
        <v>2.3604E-4</v>
      </c>
      <c r="AI49" s="8">
        <v>0.77432000000000001</v>
      </c>
      <c r="AJ49" s="8"/>
      <c r="AK49" t="s">
        <v>151</v>
      </c>
      <c r="AL49" t="s">
        <v>206</v>
      </c>
    </row>
    <row r="50" spans="1:38" s="11" customFormat="1">
      <c r="A50" s="11" t="s">
        <v>207</v>
      </c>
      <c r="B50" s="12">
        <v>46274</v>
      </c>
      <c r="C50" s="13">
        <v>0.47499999999999998</v>
      </c>
      <c r="D50" s="11" t="s">
        <v>48</v>
      </c>
      <c r="E50" s="11" t="s">
        <v>49</v>
      </c>
      <c r="F50" s="11" t="s">
        <v>50</v>
      </c>
      <c r="G50" s="11" t="s">
        <v>51</v>
      </c>
      <c r="H50" s="11" t="s">
        <v>52</v>
      </c>
      <c r="J50" s="11" t="s">
        <v>215</v>
      </c>
      <c r="K50" s="11" t="s">
        <v>208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8"/>
      <c r="X50" s="18"/>
      <c r="Y50" s="18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L50" s="11" t="s">
        <v>209</v>
      </c>
    </row>
    <row r="51" spans="1:38" ht="16">
      <c r="A51" t="s">
        <v>212</v>
      </c>
      <c r="B51" s="4">
        <v>46274</v>
      </c>
      <c r="C51" s="6"/>
      <c r="D51" t="s">
        <v>48</v>
      </c>
      <c r="E51" t="s">
        <v>61</v>
      </c>
      <c r="F51" t="s">
        <v>50</v>
      </c>
      <c r="G51" t="s">
        <v>40</v>
      </c>
      <c r="H51" t="s">
        <v>52</v>
      </c>
      <c r="I51" t="s">
        <v>211</v>
      </c>
      <c r="J51" t="s">
        <v>215</v>
      </c>
      <c r="K51" t="s">
        <v>208</v>
      </c>
      <c r="L51" s="8">
        <v>18.54</v>
      </c>
      <c r="M51" s="8"/>
      <c r="N51" s="8">
        <v>1.8540000000000001</v>
      </c>
      <c r="O51" s="8" t="s">
        <v>57</v>
      </c>
      <c r="P51" s="8">
        <v>18.54</v>
      </c>
      <c r="Q51" s="8"/>
      <c r="R51" s="8">
        <v>20</v>
      </c>
      <c r="S51" s="8" t="s">
        <v>63</v>
      </c>
      <c r="T51" s="8">
        <v>100000</v>
      </c>
      <c r="U51" s="8">
        <v>1</v>
      </c>
      <c r="V51" s="8">
        <v>10</v>
      </c>
      <c r="W51" s="7" t="s">
        <v>57</v>
      </c>
      <c r="X51" s="7" t="s">
        <v>57</v>
      </c>
      <c r="Y51" s="7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L51" t="s">
        <v>210</v>
      </c>
    </row>
    <row r="52" spans="1:38" ht="16">
      <c r="A52" t="s">
        <v>213</v>
      </c>
      <c r="B52" s="19">
        <v>46274</v>
      </c>
      <c r="D52" t="s">
        <v>48</v>
      </c>
      <c r="E52" t="s">
        <v>61</v>
      </c>
      <c r="F52" t="s">
        <v>50</v>
      </c>
      <c r="G52" t="s">
        <v>40</v>
      </c>
      <c r="H52" t="s">
        <v>52</v>
      </c>
      <c r="I52" t="s">
        <v>214</v>
      </c>
      <c r="J52" t="s">
        <v>215</v>
      </c>
      <c r="K52" t="s">
        <v>208</v>
      </c>
      <c r="L52">
        <v>20</v>
      </c>
      <c r="R52">
        <v>20</v>
      </c>
      <c r="S52" t="s">
        <v>63</v>
      </c>
      <c r="T52" s="20">
        <v>100000</v>
      </c>
      <c r="U52">
        <v>1</v>
      </c>
      <c r="V52">
        <v>10</v>
      </c>
      <c r="W52" s="7" t="s">
        <v>57</v>
      </c>
      <c r="X52" s="7" t="s">
        <v>57</v>
      </c>
      <c r="Y52" s="7"/>
      <c r="AL52" t="s">
        <v>253</v>
      </c>
    </row>
    <row r="53" spans="1:38" s="11" customFormat="1">
      <c r="A53" s="11" t="s">
        <v>216</v>
      </c>
      <c r="B53" s="21">
        <v>46274</v>
      </c>
      <c r="C53" s="13">
        <v>0.50694444444444442</v>
      </c>
      <c r="D53" s="11" t="s">
        <v>74</v>
      </c>
      <c r="E53" s="11" t="s">
        <v>49</v>
      </c>
      <c r="F53" s="11" t="s">
        <v>50</v>
      </c>
      <c r="G53" s="11" t="s">
        <v>51</v>
      </c>
      <c r="H53" s="11" t="s">
        <v>52</v>
      </c>
      <c r="J53" s="11" t="s">
        <v>219</v>
      </c>
      <c r="K53" s="11" t="s">
        <v>208</v>
      </c>
      <c r="W53" s="18"/>
      <c r="X53" s="18"/>
      <c r="Y53" s="18"/>
      <c r="AL53" s="11" t="s">
        <v>220</v>
      </c>
    </row>
    <row r="54" spans="1:38">
      <c r="A54" t="s">
        <v>217</v>
      </c>
      <c r="B54" s="19">
        <v>46274</v>
      </c>
      <c r="I54" t="s">
        <v>222</v>
      </c>
      <c r="J54" t="s">
        <v>219</v>
      </c>
      <c r="K54" t="s">
        <v>208</v>
      </c>
      <c r="L54">
        <v>19.440000000000001</v>
      </c>
      <c r="M54">
        <v>19.440000000000001</v>
      </c>
      <c r="W54" s="7"/>
      <c r="X54" s="7"/>
      <c r="Y54" s="7"/>
      <c r="AL54" t="s">
        <v>221</v>
      </c>
    </row>
    <row r="55" spans="1:38">
      <c r="A55" t="s">
        <v>218</v>
      </c>
      <c r="B55" s="19">
        <v>46274</v>
      </c>
      <c r="I55" t="s">
        <v>223</v>
      </c>
      <c r="J55" t="s">
        <v>219</v>
      </c>
      <c r="K55" t="s">
        <v>208</v>
      </c>
      <c r="L55">
        <v>20</v>
      </c>
      <c r="M55">
        <v>-0.92</v>
      </c>
      <c r="W55" s="7"/>
      <c r="X55" s="7"/>
      <c r="Y55" s="7"/>
      <c r="AL55" t="s">
        <v>254</v>
      </c>
    </row>
    <row r="56" spans="1:38" s="11" customFormat="1">
      <c r="A56" s="11" t="s">
        <v>240</v>
      </c>
      <c r="B56" s="21">
        <v>46274</v>
      </c>
      <c r="D56" s="11" t="s">
        <v>224</v>
      </c>
      <c r="E56" s="11" t="s">
        <v>49</v>
      </c>
      <c r="F56" s="11" t="s">
        <v>50</v>
      </c>
      <c r="G56" s="11" t="s">
        <v>51</v>
      </c>
      <c r="H56" s="11" t="s">
        <v>52</v>
      </c>
      <c r="J56" s="11" t="s">
        <v>228</v>
      </c>
      <c r="K56" s="11" t="s">
        <v>208</v>
      </c>
      <c r="W56" s="18"/>
      <c r="X56" s="18"/>
      <c r="Y56" s="18"/>
      <c r="AL56" s="11" t="s">
        <v>232</v>
      </c>
    </row>
    <row r="57" spans="1:38">
      <c r="A57" t="s">
        <v>241</v>
      </c>
      <c r="B57" s="19">
        <v>46274</v>
      </c>
      <c r="I57" t="s">
        <v>222</v>
      </c>
      <c r="J57" t="s">
        <v>228</v>
      </c>
      <c r="K57" t="s">
        <v>208</v>
      </c>
      <c r="L57">
        <v>18.72</v>
      </c>
      <c r="M57">
        <v>-0.56000000000000005</v>
      </c>
      <c r="W57" s="7"/>
      <c r="X57" s="7"/>
      <c r="Y57" s="7"/>
      <c r="AL57" t="s">
        <v>233</v>
      </c>
    </row>
    <row r="58" spans="1:38">
      <c r="A58" t="s">
        <v>242</v>
      </c>
      <c r="B58" s="19">
        <v>46274</v>
      </c>
      <c r="I58" t="s">
        <v>225</v>
      </c>
      <c r="J58" t="s">
        <v>228</v>
      </c>
      <c r="K58" t="s">
        <v>208</v>
      </c>
      <c r="W58" s="7"/>
      <c r="X58" s="7"/>
      <c r="Y58" s="7"/>
      <c r="AL58" t="s">
        <v>255</v>
      </c>
    </row>
    <row r="59" spans="1:38" s="11" customFormat="1">
      <c r="A59" s="11" t="s">
        <v>243</v>
      </c>
      <c r="B59" s="21">
        <v>46274</v>
      </c>
      <c r="J59" s="11" t="s">
        <v>229</v>
      </c>
      <c r="K59" s="11" t="s">
        <v>208</v>
      </c>
      <c r="W59" s="18"/>
      <c r="X59" s="18"/>
      <c r="Y59" s="18"/>
      <c r="AL59" s="11" t="s">
        <v>235</v>
      </c>
    </row>
    <row r="60" spans="1:38">
      <c r="A60" t="s">
        <v>244</v>
      </c>
      <c r="B60" s="19">
        <v>46274</v>
      </c>
      <c r="I60" t="s">
        <v>222</v>
      </c>
      <c r="J60" t="s">
        <v>229</v>
      </c>
      <c r="K60" t="s">
        <v>208</v>
      </c>
      <c r="L60">
        <v>19.260000000000002</v>
      </c>
      <c r="M60">
        <v>-0.56000000000000005</v>
      </c>
      <c r="W60" s="7"/>
      <c r="X60" s="7"/>
      <c r="Y60" s="7">
        <f>ProjectRunLog[[#This Row],[Centre Temp After FRA (°C)]]-ProjectRunLog[[#This Row],[Centre Temp Before FRA (°C)]]</f>
        <v>0</v>
      </c>
      <c r="AL60" t="s">
        <v>234</v>
      </c>
    </row>
    <row r="61" spans="1:38">
      <c r="A61" t="s">
        <v>245</v>
      </c>
      <c r="B61" s="19">
        <v>46274</v>
      </c>
      <c r="I61" t="s">
        <v>225</v>
      </c>
      <c r="J61" t="s">
        <v>229</v>
      </c>
      <c r="K61" t="s">
        <v>208</v>
      </c>
      <c r="L61">
        <v>20</v>
      </c>
      <c r="W61" s="7"/>
      <c r="X61" s="7"/>
      <c r="Y61" s="7">
        <f>ProjectRunLog[[#This Row],[Centre Temp After FRA (°C)]]-ProjectRunLog[[#This Row],[Centre Temp Before FRA (°C)]]</f>
        <v>0</v>
      </c>
      <c r="AL61" t="s">
        <v>256</v>
      </c>
    </row>
    <row r="62" spans="1:38" s="11" customFormat="1">
      <c r="A62" s="11" t="s">
        <v>226</v>
      </c>
      <c r="B62" s="21">
        <v>46274</v>
      </c>
      <c r="J62" s="11" t="s">
        <v>230</v>
      </c>
      <c r="K62" s="11" t="s">
        <v>208</v>
      </c>
      <c r="W62" s="18"/>
      <c r="X62" s="18"/>
      <c r="Y62" s="18">
        <f>ProjectRunLog[[#This Row],[Centre Temp After FRA (°C)]]-ProjectRunLog[[#This Row],[Centre Temp Before FRA (°C)]]</f>
        <v>0</v>
      </c>
      <c r="AL62" s="11" t="s">
        <v>236</v>
      </c>
    </row>
    <row r="63" spans="1:38">
      <c r="A63" t="s">
        <v>227</v>
      </c>
      <c r="B63" s="19">
        <v>46274</v>
      </c>
      <c r="I63" t="s">
        <v>222</v>
      </c>
      <c r="J63" t="s">
        <v>230</v>
      </c>
      <c r="K63" t="s">
        <v>208</v>
      </c>
      <c r="L63">
        <v>18.72</v>
      </c>
      <c r="M63">
        <v>-0.35</v>
      </c>
      <c r="W63" s="7"/>
      <c r="X63" s="7"/>
      <c r="Y63" s="7">
        <f>ProjectRunLog[[#This Row],[Centre Temp After FRA (°C)]]-ProjectRunLog[[#This Row],[Centre Temp Before FRA (°C)]]</f>
        <v>0</v>
      </c>
      <c r="AL63" t="s">
        <v>238</v>
      </c>
    </row>
    <row r="64" spans="1:38">
      <c r="A64" t="s">
        <v>246</v>
      </c>
      <c r="B64" s="19">
        <v>46274</v>
      </c>
      <c r="I64" t="s">
        <v>225</v>
      </c>
      <c r="J64" t="s">
        <v>230</v>
      </c>
      <c r="K64" t="s">
        <v>208</v>
      </c>
      <c r="L64">
        <v>20</v>
      </c>
      <c r="W64" s="7"/>
      <c r="X64" s="7"/>
      <c r="Y64" s="7">
        <f>ProjectRunLog[[#This Row],[Centre Temp After FRA (°C)]]-ProjectRunLog[[#This Row],[Centre Temp Before FRA (°C)]]</f>
        <v>0</v>
      </c>
      <c r="AL64" t="s">
        <v>257</v>
      </c>
    </row>
    <row r="65" spans="1:38" s="11" customFormat="1">
      <c r="A65" s="11" t="s">
        <v>247</v>
      </c>
      <c r="B65" s="21">
        <v>46274</v>
      </c>
      <c r="J65" s="11" t="s">
        <v>231</v>
      </c>
      <c r="K65" s="11" t="s">
        <v>208</v>
      </c>
      <c r="W65" s="18"/>
      <c r="X65" s="18"/>
      <c r="Y65" s="18">
        <f>ProjectRunLog[[#This Row],[Centre Temp After FRA (°C)]]-ProjectRunLog[[#This Row],[Centre Temp Before FRA (°C)]]</f>
        <v>0</v>
      </c>
      <c r="AL65" s="11" t="s">
        <v>237</v>
      </c>
    </row>
    <row r="66" spans="1:38">
      <c r="A66" t="s">
        <v>248</v>
      </c>
      <c r="B66" s="19">
        <v>46274</v>
      </c>
      <c r="I66" t="s">
        <v>222</v>
      </c>
      <c r="J66" t="s">
        <v>231</v>
      </c>
      <c r="K66" t="s">
        <v>208</v>
      </c>
      <c r="L66">
        <v>19</v>
      </c>
      <c r="M66">
        <v>-0.34</v>
      </c>
      <c r="W66" s="7"/>
      <c r="X66" s="7"/>
      <c r="Y66" s="7">
        <f>ProjectRunLog[[#This Row],[Centre Temp After FRA (°C)]]-ProjectRunLog[[#This Row],[Centre Temp Before FRA (°C)]]</f>
        <v>0</v>
      </c>
      <c r="AL66" t="s">
        <v>239</v>
      </c>
    </row>
    <row r="67" spans="1:38">
      <c r="A67" t="s">
        <v>249</v>
      </c>
      <c r="B67" s="19">
        <v>46274</v>
      </c>
      <c r="I67" t="s">
        <v>225</v>
      </c>
      <c r="J67" t="s">
        <v>231</v>
      </c>
      <c r="K67" t="s">
        <v>208</v>
      </c>
      <c r="L67">
        <v>20</v>
      </c>
      <c r="W67" s="7"/>
      <c r="X67" s="7"/>
      <c r="Y67" s="7">
        <f>ProjectRunLog[[#This Row],[Centre Temp After FRA (°C)]]-ProjectRunLog[[#This Row],[Centre Temp Before FRA (°C)]]</f>
        <v>0</v>
      </c>
      <c r="AL67" t="s">
        <v>258</v>
      </c>
    </row>
    <row r="68" spans="1:38" s="11" customFormat="1">
      <c r="A68" s="11" t="s">
        <v>250</v>
      </c>
      <c r="B68" s="21">
        <v>46275</v>
      </c>
      <c r="J68" s="11" t="s">
        <v>251</v>
      </c>
      <c r="K68" s="11" t="s">
        <v>208</v>
      </c>
      <c r="W68" s="18"/>
      <c r="X68" s="18"/>
      <c r="Y68" s="18">
        <f>ProjectRunLog[[#This Row],[Centre Temp After FRA (°C)]]-ProjectRunLog[[#This Row],[Centre Temp Before FRA (°C)]]</f>
        <v>0</v>
      </c>
      <c r="AL68" s="11" t="s">
        <v>252</v>
      </c>
    </row>
    <row r="69" spans="1:38">
      <c r="A69" t="s">
        <v>268</v>
      </c>
      <c r="B69" s="19">
        <v>46275</v>
      </c>
      <c r="J69" t="s">
        <v>251</v>
      </c>
      <c r="K69" t="s">
        <v>208</v>
      </c>
      <c r="W69" s="7"/>
      <c r="X69" s="7"/>
      <c r="Y69" s="7">
        <f>ProjectRunLog[[#This Row],[Centre Temp After FRA (°C)]]-ProjectRunLog[[#This Row],[Centre Temp Before FRA (°C)]]</f>
        <v>0</v>
      </c>
      <c r="AL69" t="s">
        <v>261</v>
      </c>
    </row>
    <row r="70" spans="1:38">
      <c r="A70" t="s">
        <v>269</v>
      </c>
      <c r="B70" s="19">
        <v>46275</v>
      </c>
      <c r="J70" t="s">
        <v>251</v>
      </c>
      <c r="K70" t="s">
        <v>208</v>
      </c>
      <c r="W70" s="7"/>
      <c r="X70" s="7"/>
      <c r="Y70" s="7">
        <f>ProjectRunLog[[#This Row],[Centre Temp After FRA (°C)]]-ProjectRunLog[[#This Row],[Centre Temp Before FRA (°C)]]</f>
        <v>0</v>
      </c>
      <c r="AL70" t="s">
        <v>262</v>
      </c>
    </row>
    <row r="71" spans="1:38" s="11" customFormat="1">
      <c r="A71" s="11" t="s">
        <v>270</v>
      </c>
      <c r="B71" s="21">
        <v>46275</v>
      </c>
      <c r="J71" s="11" t="s">
        <v>282</v>
      </c>
      <c r="K71" s="11" t="s">
        <v>208</v>
      </c>
      <c r="W71" s="18"/>
      <c r="X71" s="18"/>
      <c r="Y71" s="18">
        <f>ProjectRunLog[[#This Row],[Centre Temp After FRA (°C)]]-ProjectRunLog[[#This Row],[Centre Temp Before FRA (°C)]]</f>
        <v>0</v>
      </c>
      <c r="AL71" s="11" t="s">
        <v>260</v>
      </c>
    </row>
    <row r="72" spans="1:38">
      <c r="A72" t="s">
        <v>271</v>
      </c>
      <c r="B72" s="19">
        <v>46275</v>
      </c>
      <c r="J72" t="s">
        <v>282</v>
      </c>
      <c r="K72" t="s">
        <v>208</v>
      </c>
      <c r="W72" s="7"/>
      <c r="X72" s="7"/>
      <c r="Y72" s="7">
        <f>ProjectRunLog[[#This Row],[Centre Temp After FRA (°C)]]-ProjectRunLog[[#This Row],[Centre Temp Before FRA (°C)]]</f>
        <v>0</v>
      </c>
      <c r="AL72" t="s">
        <v>263</v>
      </c>
    </row>
    <row r="73" spans="1:38">
      <c r="A73" t="s">
        <v>272</v>
      </c>
      <c r="B73" s="19">
        <v>46275</v>
      </c>
      <c r="J73" t="s">
        <v>282</v>
      </c>
      <c r="K73" t="s">
        <v>208</v>
      </c>
      <c r="W73" s="7"/>
      <c r="X73" s="7"/>
      <c r="Y73" s="7">
        <f>ProjectRunLog[[#This Row],[Centre Temp After FRA (°C)]]-ProjectRunLog[[#This Row],[Centre Temp Before FRA (°C)]]</f>
        <v>0</v>
      </c>
      <c r="AL73" t="s">
        <v>264</v>
      </c>
    </row>
    <row r="74" spans="1:38" s="11" customFormat="1">
      <c r="A74" s="11" t="s">
        <v>273</v>
      </c>
      <c r="B74" s="21">
        <v>46275</v>
      </c>
      <c r="J74" s="11" t="s">
        <v>283</v>
      </c>
      <c r="K74" s="11" t="s">
        <v>208</v>
      </c>
      <c r="W74" s="18"/>
      <c r="X74" s="18"/>
      <c r="Y74" s="18">
        <f>ProjectRunLog[[#This Row],[Centre Temp After FRA (°C)]]-ProjectRunLog[[#This Row],[Centre Temp Before FRA (°C)]]</f>
        <v>0</v>
      </c>
      <c r="AL74" s="11" t="s">
        <v>259</v>
      </c>
    </row>
    <row r="75" spans="1:38">
      <c r="A75" t="s">
        <v>274</v>
      </c>
      <c r="B75" s="19">
        <v>46275</v>
      </c>
      <c r="J75" t="s">
        <v>283</v>
      </c>
      <c r="K75" t="s">
        <v>208</v>
      </c>
      <c r="W75" s="7"/>
      <c r="X75" s="7"/>
      <c r="Y75" s="7">
        <f>ProjectRunLog[[#This Row],[Centre Temp After FRA (°C)]]-ProjectRunLog[[#This Row],[Centre Temp Before FRA (°C)]]</f>
        <v>0</v>
      </c>
      <c r="AL75" t="s">
        <v>265</v>
      </c>
    </row>
    <row r="76" spans="1:38">
      <c r="A76" t="s">
        <v>275</v>
      </c>
      <c r="B76" s="19">
        <v>46275</v>
      </c>
      <c r="J76" t="s">
        <v>283</v>
      </c>
      <c r="K76" t="s">
        <v>208</v>
      </c>
      <c r="W76" s="7"/>
      <c r="X76" s="7"/>
      <c r="Y76" s="7">
        <f>ProjectRunLog[[#This Row],[Centre Temp After FRA (°C)]]-ProjectRunLog[[#This Row],[Centre Temp Before FRA (°C)]]</f>
        <v>0</v>
      </c>
      <c r="AL76" t="s">
        <v>266</v>
      </c>
    </row>
    <row r="77" spans="1:38" s="11" customFormat="1">
      <c r="A77" s="11" t="s">
        <v>267</v>
      </c>
      <c r="B77" s="21">
        <v>46279</v>
      </c>
      <c r="J77" s="11" t="s">
        <v>288</v>
      </c>
      <c r="K77" s="11" t="s">
        <v>208</v>
      </c>
      <c r="W77" s="18"/>
      <c r="X77" s="18"/>
      <c r="Y77" s="18">
        <f>ProjectRunLog[[#This Row],[Centre Temp After FRA (°C)]]-ProjectRunLog[[#This Row],[Centre Temp Before FRA (°C)]]</f>
        <v>0</v>
      </c>
      <c r="AL77" s="11" t="s">
        <v>281</v>
      </c>
    </row>
    <row r="78" spans="1:38">
      <c r="A78" t="s">
        <v>276</v>
      </c>
      <c r="B78" s="19">
        <v>46279</v>
      </c>
      <c r="J78" t="s">
        <v>288</v>
      </c>
      <c r="K78" t="s">
        <v>208</v>
      </c>
      <c r="W78" s="7"/>
      <c r="X78" s="7"/>
      <c r="Y78" s="7">
        <f>ProjectRunLog[[#This Row],[Centre Temp After FRA (°C)]]-ProjectRunLog[[#This Row],[Centre Temp Before FRA (°C)]]</f>
        <v>0</v>
      </c>
      <c r="AL78" t="s">
        <v>284</v>
      </c>
    </row>
    <row r="79" spans="1:38" s="11" customFormat="1">
      <c r="A79" s="11" t="s">
        <v>277</v>
      </c>
      <c r="B79" s="21">
        <v>46279</v>
      </c>
      <c r="J79" s="11" t="s">
        <v>289</v>
      </c>
      <c r="K79" s="11" t="s">
        <v>208</v>
      </c>
      <c r="W79" s="18"/>
      <c r="X79" s="18"/>
      <c r="Y79" s="18">
        <f>ProjectRunLog[[#This Row],[Centre Temp After FRA (°C)]]-ProjectRunLog[[#This Row],[Centre Temp Before FRA (°C)]]</f>
        <v>0</v>
      </c>
      <c r="AL79" s="11" t="s">
        <v>286</v>
      </c>
    </row>
    <row r="80" spans="1:38">
      <c r="A80" t="s">
        <v>278</v>
      </c>
      <c r="B80" s="19">
        <v>46279</v>
      </c>
      <c r="J80" t="s">
        <v>289</v>
      </c>
      <c r="K80" t="s">
        <v>208</v>
      </c>
      <c r="W80" s="7"/>
      <c r="X80" s="7"/>
      <c r="Y80" s="7">
        <f>ProjectRunLog[[#This Row],[Centre Temp After FRA (°C)]]-ProjectRunLog[[#This Row],[Centre Temp Before FRA (°C)]]</f>
        <v>0</v>
      </c>
      <c r="AL80" t="s">
        <v>285</v>
      </c>
    </row>
    <row r="81" spans="1:38" s="11" customFormat="1">
      <c r="A81" s="11" t="s">
        <v>279</v>
      </c>
      <c r="B81" s="21">
        <v>46279</v>
      </c>
      <c r="J81" s="11" t="s">
        <v>290</v>
      </c>
      <c r="K81" s="11" t="s">
        <v>208</v>
      </c>
      <c r="W81" s="18"/>
      <c r="X81" s="18"/>
      <c r="Y81" s="18">
        <f>ProjectRunLog[[#This Row],[Centre Temp After FRA (°C)]]-ProjectRunLog[[#This Row],[Centre Temp Before FRA (°C)]]</f>
        <v>0</v>
      </c>
      <c r="AL81" s="11" t="s">
        <v>287</v>
      </c>
    </row>
    <row r="82" spans="1:38">
      <c r="A82" t="s">
        <v>280</v>
      </c>
      <c r="B82" s="19">
        <v>46279</v>
      </c>
      <c r="J82" t="s">
        <v>290</v>
      </c>
      <c r="K82" t="s">
        <v>208</v>
      </c>
      <c r="W82" s="7"/>
      <c r="X82" s="7"/>
      <c r="Y82" s="7">
        <f>ProjectRunLog[[#This Row],[Centre Temp After FRA (°C)]]-ProjectRunLog[[#This Row],[Centre Temp Before FRA (°C)]]</f>
        <v>0</v>
      </c>
      <c r="AL82" t="s">
        <v>302</v>
      </c>
    </row>
    <row r="83" spans="1:38" s="11" customFormat="1">
      <c r="A83" s="11" t="s">
        <v>291</v>
      </c>
      <c r="B83" s="21">
        <v>46281</v>
      </c>
      <c r="J83" s="11" t="s">
        <v>292</v>
      </c>
      <c r="K83" s="11" t="s">
        <v>293</v>
      </c>
      <c r="W83" s="18"/>
      <c r="X83" s="18"/>
      <c r="Y83" s="18">
        <f>ProjectRunLog[[#This Row],[Centre Temp After FRA (°C)]]-ProjectRunLog[[#This Row],[Centre Temp Before FRA (°C)]]</f>
        <v>0</v>
      </c>
      <c r="AL83" s="11" t="s">
        <v>297</v>
      </c>
    </row>
    <row r="84" spans="1:38">
      <c r="A84" t="s">
        <v>294</v>
      </c>
      <c r="B84" s="19">
        <v>46281</v>
      </c>
      <c r="J84" t="s">
        <v>292</v>
      </c>
      <c r="K84" t="s">
        <v>293</v>
      </c>
      <c r="W84" s="7"/>
      <c r="X84" s="7"/>
      <c r="Y84" s="7">
        <f>ProjectRunLog[[#This Row],[Centre Temp After FRA (°C)]]-ProjectRunLog[[#This Row],[Centre Temp Before FRA (°C)]]</f>
        <v>0</v>
      </c>
      <c r="AL84" t="s">
        <v>298</v>
      </c>
    </row>
    <row r="85" spans="1:38" s="11" customFormat="1">
      <c r="A85" s="11" t="s">
        <v>295</v>
      </c>
      <c r="B85" s="21">
        <v>46281</v>
      </c>
      <c r="H85" s="11" t="s">
        <v>301</v>
      </c>
      <c r="J85" s="11" t="s">
        <v>292</v>
      </c>
      <c r="K85" s="11" t="s">
        <v>293</v>
      </c>
      <c r="W85" s="18"/>
      <c r="X85" s="18"/>
      <c r="Y85" s="18">
        <f>ProjectRunLog[[#This Row],[Centre Temp After FRA (°C)]]-ProjectRunLog[[#This Row],[Centre Temp Before FRA (°C)]]</f>
        <v>0</v>
      </c>
      <c r="AL85" s="11" t="s">
        <v>299</v>
      </c>
    </row>
    <row r="86" spans="1:38">
      <c r="A86" t="s">
        <v>296</v>
      </c>
      <c r="B86" s="19">
        <v>46281</v>
      </c>
      <c r="H86" t="s">
        <v>301</v>
      </c>
      <c r="J86" t="s">
        <v>292</v>
      </c>
      <c r="K86" t="s">
        <v>293</v>
      </c>
      <c r="W86" s="7"/>
      <c r="X86" s="7"/>
      <c r="Y86" s="7">
        <f>ProjectRunLog[[#This Row],[Centre Temp After FRA (°C)]]-ProjectRunLog[[#This Row],[Centre Temp Before FRA (°C)]]</f>
        <v>0</v>
      </c>
      <c r="AL86" t="s">
        <v>300</v>
      </c>
    </row>
    <row r="87" spans="1:38" s="11" customFormat="1">
      <c r="A87" s="11" t="s">
        <v>303</v>
      </c>
      <c r="B87" s="21">
        <v>46287</v>
      </c>
      <c r="G87" s="11" t="s">
        <v>51</v>
      </c>
      <c r="H87" s="11" t="s">
        <v>52</v>
      </c>
      <c r="J87" s="11" t="s">
        <v>304</v>
      </c>
      <c r="K87" s="11" t="s">
        <v>305</v>
      </c>
      <c r="W87" s="18"/>
      <c r="X87" s="18"/>
      <c r="Y87" s="18">
        <f>ProjectRunLog[[#This Row],[Centre Temp After FRA (°C)]]-ProjectRunLog[[#This Row],[Centre Temp Before FRA (°C)]]</f>
        <v>0</v>
      </c>
      <c r="AL87" s="11" t="s">
        <v>306</v>
      </c>
    </row>
    <row r="88" spans="1:38">
      <c r="A88" t="s">
        <v>328</v>
      </c>
      <c r="B88" s="19">
        <v>46287</v>
      </c>
      <c r="G88" t="s">
        <v>40</v>
      </c>
      <c r="H88" t="s">
        <v>52</v>
      </c>
      <c r="J88" t="s">
        <v>304</v>
      </c>
      <c r="K88" t="s">
        <v>305</v>
      </c>
      <c r="W88" s="7"/>
      <c r="X88" s="7"/>
      <c r="Y88" s="7">
        <f>ProjectRunLog[[#This Row],[Centre Temp After FRA (°C)]]-ProjectRunLog[[#This Row],[Centre Temp Before FRA (°C)]]</f>
        <v>0</v>
      </c>
      <c r="AL88" t="s">
        <v>307</v>
      </c>
    </row>
    <row r="89" spans="1:38">
      <c r="A89" t="s">
        <v>329</v>
      </c>
      <c r="B89" s="19">
        <v>46287</v>
      </c>
      <c r="J89" t="s">
        <v>304</v>
      </c>
      <c r="K89" t="s">
        <v>305</v>
      </c>
      <c r="W89" s="7"/>
      <c r="X89" s="7"/>
      <c r="Y89" s="7">
        <f>ProjectRunLog[[#This Row],[Centre Temp After FRA (°C)]]-ProjectRunLog[[#This Row],[Centre Temp Before FRA (°C)]]</f>
        <v>0</v>
      </c>
      <c r="AL89" t="s">
        <v>308</v>
      </c>
    </row>
    <row r="90" spans="1:38" s="11" customFormat="1">
      <c r="A90" s="11" t="s">
        <v>330</v>
      </c>
      <c r="B90" s="21">
        <v>46287</v>
      </c>
      <c r="J90" s="11" t="s">
        <v>304</v>
      </c>
      <c r="K90" s="11" t="s">
        <v>305</v>
      </c>
      <c r="W90" s="18"/>
      <c r="X90" s="18"/>
      <c r="Y90" s="18">
        <f>ProjectRunLog[[#This Row],[Centre Temp After FRA (°C)]]-ProjectRunLog[[#This Row],[Centre Temp Before FRA (°C)]]</f>
        <v>0</v>
      </c>
      <c r="AL90" s="11" t="s">
        <v>309</v>
      </c>
    </row>
    <row r="91" spans="1:38">
      <c r="A91" t="s">
        <v>331</v>
      </c>
      <c r="B91" s="19">
        <v>46287</v>
      </c>
      <c r="J91" t="s">
        <v>304</v>
      </c>
      <c r="K91" t="s">
        <v>305</v>
      </c>
      <c r="W91" s="7"/>
      <c r="X91" s="7"/>
      <c r="Y91" s="7">
        <f>ProjectRunLog[[#This Row],[Centre Temp After FRA (°C)]]-ProjectRunLog[[#This Row],[Centre Temp Before FRA (°C)]]</f>
        <v>0</v>
      </c>
      <c r="AL91" t="s">
        <v>310</v>
      </c>
    </row>
    <row r="92" spans="1:38">
      <c r="A92" t="s">
        <v>332</v>
      </c>
      <c r="B92" s="19">
        <v>46287</v>
      </c>
      <c r="J92" t="s">
        <v>304</v>
      </c>
      <c r="K92" t="s">
        <v>305</v>
      </c>
      <c r="W92" s="7"/>
      <c r="X92" s="7"/>
      <c r="Y92" s="7">
        <f>ProjectRunLog[[#This Row],[Centre Temp After FRA (°C)]]-ProjectRunLog[[#This Row],[Centre Temp Before FRA (°C)]]</f>
        <v>0</v>
      </c>
      <c r="AL92" t="s">
        <v>311</v>
      </c>
    </row>
    <row r="93" spans="1:38" s="11" customFormat="1">
      <c r="A93" s="11" t="s">
        <v>333</v>
      </c>
      <c r="B93" s="21">
        <v>46287</v>
      </c>
      <c r="J93" s="11" t="s">
        <v>316</v>
      </c>
      <c r="K93" s="11" t="s">
        <v>305</v>
      </c>
      <c r="W93" s="18"/>
      <c r="X93" s="18"/>
      <c r="Y93" s="18">
        <f>ProjectRunLog[[#This Row],[Centre Temp After FRA (°C)]]-ProjectRunLog[[#This Row],[Centre Temp Before FRA (°C)]]</f>
        <v>0</v>
      </c>
      <c r="AL93" s="11" t="s">
        <v>312</v>
      </c>
    </row>
    <row r="94" spans="1:38">
      <c r="A94" t="s">
        <v>334</v>
      </c>
      <c r="B94" s="19">
        <v>46287</v>
      </c>
      <c r="J94" t="s">
        <v>316</v>
      </c>
      <c r="K94" t="s">
        <v>305</v>
      </c>
      <c r="W94" s="7"/>
      <c r="X94" s="7"/>
      <c r="Y94" s="7">
        <f>ProjectRunLog[[#This Row],[Centre Temp After FRA (°C)]]-ProjectRunLog[[#This Row],[Centre Temp Before FRA (°C)]]</f>
        <v>0</v>
      </c>
      <c r="AL94" t="s">
        <v>313</v>
      </c>
    </row>
    <row r="95" spans="1:38" s="11" customFormat="1">
      <c r="A95" s="11" t="s">
        <v>335</v>
      </c>
      <c r="B95" s="21">
        <v>46287</v>
      </c>
      <c r="J95" s="11" t="s">
        <v>316</v>
      </c>
      <c r="K95" s="11" t="s">
        <v>305</v>
      </c>
      <c r="W95" s="18"/>
      <c r="X95" s="18"/>
      <c r="Y95" s="18">
        <f>ProjectRunLog[[#This Row],[Centre Temp After FRA (°C)]]-ProjectRunLog[[#This Row],[Centre Temp Before FRA (°C)]]</f>
        <v>0</v>
      </c>
      <c r="AL95" s="11" t="s">
        <v>314</v>
      </c>
    </row>
    <row r="96" spans="1:38">
      <c r="A96" t="s">
        <v>336</v>
      </c>
      <c r="B96" s="19">
        <v>46287</v>
      </c>
      <c r="J96" t="s">
        <v>316</v>
      </c>
      <c r="K96" t="s">
        <v>305</v>
      </c>
      <c r="W96" s="7"/>
      <c r="X96" s="7"/>
      <c r="Y96" s="7">
        <f>ProjectRunLog[[#This Row],[Centre Temp After FRA (°C)]]-ProjectRunLog[[#This Row],[Centre Temp Before FRA (°C)]]</f>
        <v>0</v>
      </c>
      <c r="AL96" t="s">
        <v>315</v>
      </c>
    </row>
    <row r="97" spans="1:38" s="11" customFormat="1">
      <c r="A97" s="11" t="s">
        <v>337</v>
      </c>
      <c r="B97" s="21">
        <v>46287</v>
      </c>
      <c r="J97" s="11" t="s">
        <v>321</v>
      </c>
      <c r="K97" s="11" t="s">
        <v>305</v>
      </c>
      <c r="W97" s="18"/>
      <c r="X97" s="18"/>
      <c r="Y97" s="18">
        <f>ProjectRunLog[[#This Row],[Centre Temp After FRA (°C)]]-ProjectRunLog[[#This Row],[Centre Temp Before FRA (°C)]]</f>
        <v>0</v>
      </c>
      <c r="AL97" s="11" t="s">
        <v>317</v>
      </c>
    </row>
    <row r="98" spans="1:38">
      <c r="A98" t="s">
        <v>338</v>
      </c>
      <c r="B98" s="19">
        <v>46287</v>
      </c>
      <c r="J98" t="s">
        <v>321</v>
      </c>
      <c r="K98" t="s">
        <v>305</v>
      </c>
      <c r="W98" s="7"/>
      <c r="X98" s="7"/>
      <c r="Y98" s="7">
        <f>ProjectRunLog[[#This Row],[Centre Temp After FRA (°C)]]-ProjectRunLog[[#This Row],[Centre Temp Before FRA (°C)]]</f>
        <v>0</v>
      </c>
      <c r="AL98" t="s">
        <v>318</v>
      </c>
    </row>
    <row r="99" spans="1:38" s="11" customFormat="1">
      <c r="A99" s="11" t="s">
        <v>339</v>
      </c>
      <c r="B99" s="21">
        <v>46287</v>
      </c>
      <c r="J99" s="11" t="s">
        <v>321</v>
      </c>
      <c r="K99" s="11" t="s">
        <v>305</v>
      </c>
      <c r="W99" s="18"/>
      <c r="X99" s="18"/>
      <c r="Y99" s="18">
        <f>ProjectRunLog[[#This Row],[Centre Temp After FRA (°C)]]-ProjectRunLog[[#This Row],[Centre Temp Before FRA (°C)]]</f>
        <v>0</v>
      </c>
      <c r="AL99" s="11" t="s">
        <v>319</v>
      </c>
    </row>
    <row r="100" spans="1:38">
      <c r="A100" t="s">
        <v>340</v>
      </c>
      <c r="B100" s="19">
        <v>46287</v>
      </c>
      <c r="J100" t="s">
        <v>321</v>
      </c>
      <c r="K100" t="s">
        <v>305</v>
      </c>
      <c r="W100" s="7"/>
      <c r="X100" s="7"/>
      <c r="Y100" s="7">
        <f>ProjectRunLog[[#This Row],[Centre Temp After FRA (°C)]]-ProjectRunLog[[#This Row],[Centre Temp Before FRA (°C)]]</f>
        <v>0</v>
      </c>
      <c r="AL100" t="s">
        <v>320</v>
      </c>
    </row>
    <row r="101" spans="1:38" s="11" customFormat="1">
      <c r="A101" s="11" t="s">
        <v>341</v>
      </c>
      <c r="B101" s="21">
        <v>46287</v>
      </c>
      <c r="J101" s="11" t="s">
        <v>321</v>
      </c>
      <c r="K101" s="11" t="s">
        <v>305</v>
      </c>
      <c r="W101" s="18"/>
      <c r="X101" s="18"/>
      <c r="Y101" s="18">
        <f>ProjectRunLog[[#This Row],[Centre Temp After FRA (°C)]]-ProjectRunLog[[#This Row],[Centre Temp Before FRA (°C)]]</f>
        <v>0</v>
      </c>
      <c r="AL101" s="11" t="s">
        <v>322</v>
      </c>
    </row>
    <row r="102" spans="1:38">
      <c r="A102" t="s">
        <v>342</v>
      </c>
      <c r="B102" s="19">
        <v>46287</v>
      </c>
      <c r="J102" t="s">
        <v>321</v>
      </c>
      <c r="K102" t="s">
        <v>305</v>
      </c>
      <c r="W102" s="7"/>
      <c r="X102" s="7"/>
      <c r="Y102" s="7">
        <f>ProjectRunLog[[#This Row],[Centre Temp After FRA (°C)]]-ProjectRunLog[[#This Row],[Centre Temp Before FRA (°C)]]</f>
        <v>0</v>
      </c>
      <c r="AL102" t="s">
        <v>323</v>
      </c>
    </row>
    <row r="103" spans="1:38" s="11" customFormat="1">
      <c r="A103" s="11" t="s">
        <v>343</v>
      </c>
      <c r="B103" s="21">
        <v>46287</v>
      </c>
      <c r="J103" s="11" t="s">
        <v>321</v>
      </c>
      <c r="K103" s="11" t="s">
        <v>305</v>
      </c>
      <c r="W103" s="18"/>
      <c r="X103" s="18"/>
      <c r="Y103" s="18">
        <f>ProjectRunLog[[#This Row],[Centre Temp After FRA (°C)]]-ProjectRunLog[[#This Row],[Centre Temp Before FRA (°C)]]</f>
        <v>0</v>
      </c>
      <c r="AL103" s="11" t="s">
        <v>324</v>
      </c>
    </row>
    <row r="104" spans="1:38">
      <c r="A104" t="s">
        <v>344</v>
      </c>
      <c r="B104" s="19">
        <v>46287</v>
      </c>
      <c r="J104" t="s">
        <v>321</v>
      </c>
      <c r="K104" t="s">
        <v>305</v>
      </c>
      <c r="W104" s="7"/>
      <c r="X104" s="7"/>
      <c r="Y104" s="7">
        <f>ProjectRunLog[[#This Row],[Centre Temp After FRA (°C)]]-ProjectRunLog[[#This Row],[Centre Temp Before FRA (°C)]]</f>
        <v>0</v>
      </c>
      <c r="AL104" t="s">
        <v>325</v>
      </c>
    </row>
    <row r="105" spans="1:38" s="11" customFormat="1">
      <c r="A105" s="11" t="s">
        <v>345</v>
      </c>
      <c r="B105" s="21">
        <v>46287</v>
      </c>
      <c r="J105" s="11" t="s">
        <v>321</v>
      </c>
      <c r="K105" s="11" t="s">
        <v>305</v>
      </c>
      <c r="W105" s="18"/>
      <c r="X105" s="18"/>
      <c r="Y105" s="18">
        <f>ProjectRunLog[[#This Row],[Centre Temp After FRA (°C)]]-ProjectRunLog[[#This Row],[Centre Temp Before FRA (°C)]]</f>
        <v>0</v>
      </c>
      <c r="AL105" s="11" t="s">
        <v>326</v>
      </c>
    </row>
    <row r="106" spans="1:38">
      <c r="A106" t="s">
        <v>346</v>
      </c>
      <c r="B106" s="19">
        <v>46287</v>
      </c>
      <c r="J106" t="s">
        <v>321</v>
      </c>
      <c r="K106" t="s">
        <v>305</v>
      </c>
      <c r="W106" s="7"/>
      <c r="X106" s="7"/>
      <c r="Y106" s="7">
        <f>ProjectRunLog[[#This Row],[Centre Temp After FRA (°C)]]-ProjectRunLog[[#This Row],[Centre Temp Before FRA (°C)]]</f>
        <v>0</v>
      </c>
      <c r="AL106" t="s">
        <v>327</v>
      </c>
    </row>
    <row r="107" spans="1:38" s="11" customFormat="1">
      <c r="A107" s="11" t="s">
        <v>347</v>
      </c>
      <c r="B107" s="21">
        <v>46288</v>
      </c>
      <c r="J107" s="11" t="s">
        <v>348</v>
      </c>
      <c r="K107" s="11" t="s">
        <v>349</v>
      </c>
      <c r="W107" s="18"/>
      <c r="X107" s="18"/>
      <c r="Y107" s="18">
        <f>ProjectRunLog[[#This Row],[Centre Temp After FRA (°C)]]-ProjectRunLog[[#This Row],[Centre Temp Before FRA (°C)]]</f>
        <v>0</v>
      </c>
      <c r="AL107" s="11" t="s">
        <v>350</v>
      </c>
    </row>
    <row r="108" spans="1:38">
      <c r="A108" t="s">
        <v>367</v>
      </c>
      <c r="B108" s="19">
        <v>46288</v>
      </c>
      <c r="J108" t="s">
        <v>348</v>
      </c>
      <c r="K108" t="s">
        <v>349</v>
      </c>
      <c r="W108" s="7"/>
      <c r="X108" s="7"/>
      <c r="Y108" s="7">
        <f>ProjectRunLog[[#This Row],[Centre Temp After FRA (°C)]]-ProjectRunLog[[#This Row],[Centre Temp Before FRA (°C)]]</f>
        <v>0</v>
      </c>
      <c r="AL108" t="s">
        <v>351</v>
      </c>
    </row>
    <row r="109" spans="1:38" s="11" customFormat="1">
      <c r="A109" s="11" t="s">
        <v>368</v>
      </c>
      <c r="B109" s="21">
        <v>46288</v>
      </c>
      <c r="J109" s="11" t="s">
        <v>348</v>
      </c>
      <c r="K109" s="11" t="s">
        <v>349</v>
      </c>
      <c r="W109" s="18"/>
      <c r="X109" s="18"/>
      <c r="Y109" s="18">
        <f>ProjectRunLog[[#This Row],[Centre Temp After FRA (°C)]]-ProjectRunLog[[#This Row],[Centre Temp Before FRA (°C)]]</f>
        <v>0</v>
      </c>
      <c r="AL109" s="11" t="s">
        <v>352</v>
      </c>
    </row>
    <row r="110" spans="1:38">
      <c r="A110" t="s">
        <v>369</v>
      </c>
      <c r="B110" s="19">
        <v>46288</v>
      </c>
      <c r="J110" t="s">
        <v>348</v>
      </c>
      <c r="K110" t="s">
        <v>349</v>
      </c>
      <c r="W110" s="7"/>
      <c r="X110" s="7"/>
      <c r="Y110" s="7">
        <f>ProjectRunLog[[#This Row],[Centre Temp After FRA (°C)]]-ProjectRunLog[[#This Row],[Centre Temp Before FRA (°C)]]</f>
        <v>0</v>
      </c>
      <c r="AL110" t="s">
        <v>353</v>
      </c>
    </row>
    <row r="111" spans="1:38" s="11" customFormat="1">
      <c r="A111" s="11" t="s">
        <v>370</v>
      </c>
      <c r="B111" s="21">
        <v>46288</v>
      </c>
      <c r="J111" s="11" t="s">
        <v>348</v>
      </c>
      <c r="K111" s="11" t="s">
        <v>349</v>
      </c>
      <c r="W111" s="18"/>
      <c r="X111" s="18"/>
      <c r="Y111" s="18">
        <f>ProjectRunLog[[#This Row],[Centre Temp After FRA (°C)]]-ProjectRunLog[[#This Row],[Centre Temp Before FRA (°C)]]</f>
        <v>0</v>
      </c>
      <c r="AL111" s="11" t="s">
        <v>354</v>
      </c>
    </row>
    <row r="112" spans="1:38">
      <c r="A112" t="s">
        <v>371</v>
      </c>
      <c r="B112" s="19">
        <v>46288</v>
      </c>
      <c r="J112" t="s">
        <v>348</v>
      </c>
      <c r="K112" t="s">
        <v>349</v>
      </c>
      <c r="W112" s="7"/>
      <c r="X112" s="7"/>
      <c r="Y112" s="7">
        <f>ProjectRunLog[[#This Row],[Centre Temp After FRA (°C)]]-ProjectRunLog[[#This Row],[Centre Temp Before FRA (°C)]]</f>
        <v>0</v>
      </c>
      <c r="AL112" t="s">
        <v>355</v>
      </c>
    </row>
    <row r="113" spans="1:38" s="11" customFormat="1">
      <c r="A113" s="11" t="s">
        <v>372</v>
      </c>
      <c r="B113" s="21">
        <v>46288</v>
      </c>
      <c r="J113" s="11" t="s">
        <v>348</v>
      </c>
      <c r="K113" s="11" t="s">
        <v>349</v>
      </c>
      <c r="W113" s="18"/>
      <c r="X113" s="18"/>
      <c r="Y113" s="18">
        <f>ProjectRunLog[[#This Row],[Centre Temp After FRA (°C)]]-ProjectRunLog[[#This Row],[Centre Temp Before FRA (°C)]]</f>
        <v>0</v>
      </c>
      <c r="AL113" s="11" t="s">
        <v>357</v>
      </c>
    </row>
    <row r="114" spans="1:38">
      <c r="A114" t="s">
        <v>373</v>
      </c>
      <c r="B114" s="19">
        <v>46288</v>
      </c>
      <c r="J114" t="s">
        <v>348</v>
      </c>
      <c r="K114" t="s">
        <v>349</v>
      </c>
      <c r="W114" s="7"/>
      <c r="X114" s="7"/>
      <c r="Y114" s="7">
        <f>ProjectRunLog[[#This Row],[Centre Temp After FRA (°C)]]-ProjectRunLog[[#This Row],[Centre Temp Before FRA (°C)]]</f>
        <v>0</v>
      </c>
      <c r="AL114" t="s">
        <v>356</v>
      </c>
    </row>
    <row r="115" spans="1:38" s="11" customFormat="1">
      <c r="A115" s="11" t="s">
        <v>374</v>
      </c>
      <c r="B115" s="21">
        <v>46288</v>
      </c>
      <c r="J115" s="11" t="s">
        <v>358</v>
      </c>
      <c r="K115" s="11" t="s">
        <v>349</v>
      </c>
      <c r="W115" s="18"/>
      <c r="X115" s="18"/>
      <c r="Y115" s="18">
        <f>ProjectRunLog[[#This Row],[Centre Temp After FRA (°C)]]-ProjectRunLog[[#This Row],[Centre Temp Before FRA (°C)]]</f>
        <v>0</v>
      </c>
      <c r="AL115" s="11" t="s">
        <v>359</v>
      </c>
    </row>
    <row r="116" spans="1:38">
      <c r="A116" t="s">
        <v>375</v>
      </c>
      <c r="B116" s="19">
        <v>46288</v>
      </c>
      <c r="J116" t="s">
        <v>358</v>
      </c>
      <c r="K116" t="s">
        <v>349</v>
      </c>
      <c r="W116" s="7"/>
      <c r="X116" s="7"/>
      <c r="Y116" s="7">
        <f>ProjectRunLog[[#This Row],[Centre Temp After FRA (°C)]]-ProjectRunLog[[#This Row],[Centre Temp Before FRA (°C)]]</f>
        <v>0</v>
      </c>
      <c r="AL116" t="s">
        <v>360</v>
      </c>
    </row>
    <row r="117" spans="1:38" s="11" customFormat="1">
      <c r="A117" s="11" t="s">
        <v>376</v>
      </c>
      <c r="B117" s="21">
        <v>46288</v>
      </c>
      <c r="J117" s="11" t="s">
        <v>358</v>
      </c>
      <c r="K117" s="11" t="s">
        <v>349</v>
      </c>
      <c r="W117" s="18"/>
      <c r="X117" s="18"/>
      <c r="Y117" s="18">
        <f>ProjectRunLog[[#This Row],[Centre Temp After FRA (°C)]]-ProjectRunLog[[#This Row],[Centre Temp Before FRA (°C)]]</f>
        <v>0</v>
      </c>
      <c r="AL117" s="11" t="s">
        <v>361</v>
      </c>
    </row>
    <row r="118" spans="1:38">
      <c r="A118" t="s">
        <v>377</v>
      </c>
      <c r="B118" s="19">
        <v>46288</v>
      </c>
      <c r="J118" t="s">
        <v>358</v>
      </c>
      <c r="K118" t="s">
        <v>349</v>
      </c>
      <c r="W118" s="7"/>
      <c r="X118" s="7"/>
      <c r="Y118" s="7">
        <f>ProjectRunLog[[#This Row],[Centre Temp After FRA (°C)]]-ProjectRunLog[[#This Row],[Centre Temp Before FRA (°C)]]</f>
        <v>0</v>
      </c>
      <c r="AL118" t="s">
        <v>362</v>
      </c>
    </row>
    <row r="119" spans="1:38" s="11" customFormat="1">
      <c r="A119" s="11" t="s">
        <v>378</v>
      </c>
      <c r="B119" s="21">
        <v>46288</v>
      </c>
      <c r="J119" s="11" t="s">
        <v>358</v>
      </c>
      <c r="K119" s="11" t="s">
        <v>349</v>
      </c>
      <c r="W119" s="18"/>
      <c r="X119" s="18"/>
      <c r="Y119" s="18">
        <f>ProjectRunLog[[#This Row],[Centre Temp After FRA (°C)]]-ProjectRunLog[[#This Row],[Centre Temp Before FRA (°C)]]</f>
        <v>0</v>
      </c>
      <c r="AL119" s="11" t="s">
        <v>363</v>
      </c>
    </row>
    <row r="120" spans="1:38">
      <c r="A120" t="s">
        <v>379</v>
      </c>
      <c r="B120" s="19">
        <v>46288</v>
      </c>
      <c r="J120" t="s">
        <v>358</v>
      </c>
      <c r="K120" t="s">
        <v>349</v>
      </c>
      <c r="W120" s="7"/>
      <c r="X120" s="7"/>
      <c r="Y120" s="7">
        <f>ProjectRunLog[[#This Row],[Centre Temp After FRA (°C)]]-ProjectRunLog[[#This Row],[Centre Temp Before FRA (°C)]]</f>
        <v>0</v>
      </c>
      <c r="AL120" t="s">
        <v>364</v>
      </c>
    </row>
    <row r="121" spans="1:38" s="11" customFormat="1">
      <c r="A121" s="11" t="s">
        <v>380</v>
      </c>
      <c r="B121" s="21">
        <v>46288</v>
      </c>
      <c r="J121" s="11" t="s">
        <v>358</v>
      </c>
      <c r="K121" s="11" t="s">
        <v>349</v>
      </c>
      <c r="W121" s="18"/>
      <c r="X121" s="18"/>
      <c r="Y121" s="18">
        <f>ProjectRunLog[[#This Row],[Centre Temp After FRA (°C)]]-ProjectRunLog[[#This Row],[Centre Temp Before FRA (°C)]]</f>
        <v>0</v>
      </c>
      <c r="AL121" s="11" t="s">
        <v>365</v>
      </c>
    </row>
    <row r="122" spans="1:38">
      <c r="A122" t="s">
        <v>381</v>
      </c>
      <c r="B122" s="19">
        <v>46288</v>
      </c>
      <c r="J122" t="s">
        <v>358</v>
      </c>
      <c r="K122" t="s">
        <v>349</v>
      </c>
      <c r="W122" s="7"/>
      <c r="X122" s="7"/>
      <c r="Y122" s="7">
        <f>ProjectRunLog[[#This Row],[Centre Temp After FRA (°C)]]-ProjectRunLog[[#This Row],[Centre Temp Before FRA (°C)]]</f>
        <v>0</v>
      </c>
      <c r="AL122" t="s">
        <v>366</v>
      </c>
    </row>
    <row r="123" spans="1:38" s="22" customFormat="1">
      <c r="A123" s="22" t="s">
        <v>382</v>
      </c>
      <c r="B123" s="23">
        <v>46293</v>
      </c>
      <c r="J123" s="22" t="s">
        <v>383</v>
      </c>
      <c r="K123" s="22" t="s">
        <v>384</v>
      </c>
      <c r="W123" s="24"/>
      <c r="X123" s="24"/>
      <c r="Y123" s="24">
        <f>ProjectRunLog[[#This Row],[Centre Temp After FRA (°C)]]-ProjectRunLog[[#This Row],[Centre Temp Before FRA (°C)]]</f>
        <v>0</v>
      </c>
      <c r="AL123" s="22" t="s">
        <v>385</v>
      </c>
    </row>
    <row r="124" spans="1:38">
      <c r="A124" t="s">
        <v>405</v>
      </c>
      <c r="B124" s="19">
        <v>46293</v>
      </c>
      <c r="J124" t="s">
        <v>383</v>
      </c>
      <c r="K124" t="s">
        <v>384</v>
      </c>
      <c r="W124" s="7"/>
      <c r="X124" s="7"/>
      <c r="Y124" s="7">
        <f>ProjectRunLog[[#This Row],[Centre Temp After FRA (°C)]]-ProjectRunLog[[#This Row],[Centre Temp Before FRA (°C)]]</f>
        <v>0</v>
      </c>
      <c r="AL124" t="s">
        <v>386</v>
      </c>
    </row>
    <row r="125" spans="1:38" s="22" customFormat="1">
      <c r="A125" s="22" t="s">
        <v>406</v>
      </c>
      <c r="B125" s="23">
        <v>46293</v>
      </c>
      <c r="J125" s="22" t="s">
        <v>383</v>
      </c>
      <c r="K125" s="22" t="s">
        <v>384</v>
      </c>
      <c r="W125" s="24"/>
      <c r="X125" s="24"/>
      <c r="Y125" s="24">
        <f>ProjectRunLog[[#This Row],[Centre Temp After FRA (°C)]]-ProjectRunLog[[#This Row],[Centre Temp Before FRA (°C)]]</f>
        <v>0</v>
      </c>
      <c r="AL125" s="22" t="s">
        <v>387</v>
      </c>
    </row>
    <row r="126" spans="1:38">
      <c r="A126" t="s">
        <v>407</v>
      </c>
      <c r="B126" s="19">
        <v>46293</v>
      </c>
      <c r="J126" t="s">
        <v>383</v>
      </c>
      <c r="K126" t="s">
        <v>384</v>
      </c>
      <c r="W126" s="7"/>
      <c r="X126" s="7"/>
      <c r="Y126" s="7">
        <f>ProjectRunLog[[#This Row],[Centre Temp After FRA (°C)]]-ProjectRunLog[[#This Row],[Centre Temp Before FRA (°C)]]</f>
        <v>0</v>
      </c>
      <c r="AL126" t="s">
        <v>388</v>
      </c>
    </row>
    <row r="127" spans="1:38" s="22" customFormat="1">
      <c r="A127" s="22" t="s">
        <v>408</v>
      </c>
      <c r="B127" s="23">
        <v>46293</v>
      </c>
      <c r="J127" s="22" t="s">
        <v>383</v>
      </c>
      <c r="K127" s="22" t="s">
        <v>384</v>
      </c>
      <c r="W127" s="24"/>
      <c r="X127" s="24"/>
      <c r="Y127" s="24">
        <f>ProjectRunLog[[#This Row],[Centre Temp After FRA (°C)]]-ProjectRunLog[[#This Row],[Centre Temp Before FRA (°C)]]</f>
        <v>0</v>
      </c>
      <c r="AL127" s="22" t="s">
        <v>389</v>
      </c>
    </row>
    <row r="128" spans="1:38">
      <c r="A128" t="s">
        <v>409</v>
      </c>
      <c r="B128" s="19">
        <v>46293</v>
      </c>
      <c r="J128" t="s">
        <v>383</v>
      </c>
      <c r="K128" t="s">
        <v>384</v>
      </c>
      <c r="W128" s="7"/>
      <c r="X128" s="7"/>
      <c r="Y128" s="7">
        <f>ProjectRunLog[[#This Row],[Centre Temp After FRA (°C)]]-ProjectRunLog[[#This Row],[Centre Temp Before FRA (°C)]]</f>
        <v>0</v>
      </c>
      <c r="AL128" t="s">
        <v>392</v>
      </c>
    </row>
    <row r="129" spans="1:39" s="22" customFormat="1">
      <c r="A129" s="22" t="s">
        <v>410</v>
      </c>
      <c r="B129" s="23">
        <v>46293</v>
      </c>
      <c r="J129" s="22" t="s">
        <v>383</v>
      </c>
      <c r="K129" s="22" t="s">
        <v>384</v>
      </c>
      <c r="W129" s="24"/>
      <c r="X129" s="24"/>
      <c r="Y129" s="24">
        <f>ProjectRunLog[[#This Row],[Centre Temp After FRA (°C)]]-ProjectRunLog[[#This Row],[Centre Temp Before FRA (°C)]]</f>
        <v>0</v>
      </c>
      <c r="AL129" s="22" t="s">
        <v>390</v>
      </c>
    </row>
    <row r="130" spans="1:39">
      <c r="A130" t="s">
        <v>411</v>
      </c>
      <c r="B130" s="19">
        <v>46293</v>
      </c>
      <c r="J130" t="s">
        <v>383</v>
      </c>
      <c r="K130" t="s">
        <v>384</v>
      </c>
      <c r="W130" s="7"/>
      <c r="X130" s="7"/>
      <c r="Y130" s="7">
        <f>ProjectRunLog[[#This Row],[Centre Temp After FRA (°C)]]-ProjectRunLog[[#This Row],[Centre Temp Before FRA (°C)]]</f>
        <v>0</v>
      </c>
      <c r="AL130" t="s">
        <v>393</v>
      </c>
    </row>
    <row r="131" spans="1:39" s="22" customFormat="1">
      <c r="A131" s="22" t="s">
        <v>412</v>
      </c>
      <c r="B131" s="23">
        <v>46293</v>
      </c>
      <c r="J131" s="22" t="s">
        <v>383</v>
      </c>
      <c r="K131" s="22" t="s">
        <v>384</v>
      </c>
      <c r="W131" s="24"/>
      <c r="X131" s="24"/>
      <c r="Y131" s="24">
        <f>ProjectRunLog[[#This Row],[Centre Temp After FRA (°C)]]-ProjectRunLog[[#This Row],[Centre Temp Before FRA (°C)]]</f>
        <v>0</v>
      </c>
      <c r="AL131" s="22" t="s">
        <v>391</v>
      </c>
    </row>
    <row r="132" spans="1:39">
      <c r="A132" t="s">
        <v>413</v>
      </c>
      <c r="B132" s="19">
        <v>46293</v>
      </c>
      <c r="J132" t="s">
        <v>383</v>
      </c>
      <c r="K132" t="s">
        <v>384</v>
      </c>
      <c r="W132" s="7"/>
      <c r="X132" s="7"/>
      <c r="Y132" s="7">
        <f>ProjectRunLog[[#This Row],[Centre Temp After FRA (°C)]]-ProjectRunLog[[#This Row],[Centre Temp Before FRA (°C)]]</f>
        <v>0</v>
      </c>
      <c r="AL132" t="s">
        <v>394</v>
      </c>
    </row>
    <row r="133" spans="1:39" s="22" customFormat="1">
      <c r="A133" s="22" t="s">
        <v>414</v>
      </c>
      <c r="B133" s="23">
        <v>46293</v>
      </c>
      <c r="J133" s="22" t="s">
        <v>395</v>
      </c>
      <c r="K133" s="22" t="s">
        <v>384</v>
      </c>
      <c r="W133" s="24"/>
      <c r="X133" s="24"/>
      <c r="Y133" s="24">
        <f>ProjectRunLog[[#This Row],[Centre Temp After FRA (°C)]]-ProjectRunLog[[#This Row],[Centre Temp Before FRA (°C)]]</f>
        <v>0</v>
      </c>
      <c r="AL133" s="22" t="s">
        <v>396</v>
      </c>
    </row>
    <row r="134" spans="1:39">
      <c r="A134" t="s">
        <v>415</v>
      </c>
      <c r="B134" s="19">
        <v>46293</v>
      </c>
      <c r="J134" t="s">
        <v>395</v>
      </c>
      <c r="K134" t="s">
        <v>384</v>
      </c>
      <c r="W134" s="7"/>
      <c r="X134" s="7"/>
      <c r="Y134" s="7">
        <f>ProjectRunLog[[#This Row],[Centre Temp After FRA (°C)]]-ProjectRunLog[[#This Row],[Centre Temp Before FRA (°C)]]</f>
        <v>0</v>
      </c>
      <c r="AL134" t="s">
        <v>401</v>
      </c>
    </row>
    <row r="135" spans="1:39" s="22" customFormat="1">
      <c r="A135" s="22" t="s">
        <v>416</v>
      </c>
      <c r="B135" s="23">
        <v>46293</v>
      </c>
      <c r="J135" s="22" t="s">
        <v>395</v>
      </c>
      <c r="K135" s="22" t="s">
        <v>384</v>
      </c>
      <c r="W135" s="24"/>
      <c r="X135" s="24"/>
      <c r="Y135" s="24">
        <f>ProjectRunLog[[#This Row],[Centre Temp After FRA (°C)]]-ProjectRunLog[[#This Row],[Centre Temp Before FRA (°C)]]</f>
        <v>0</v>
      </c>
      <c r="AL135" s="22" t="s">
        <v>397</v>
      </c>
    </row>
    <row r="136" spans="1:39">
      <c r="A136" t="s">
        <v>417</v>
      </c>
      <c r="B136" s="19">
        <v>46293</v>
      </c>
      <c r="J136" t="s">
        <v>395</v>
      </c>
      <c r="K136" t="s">
        <v>384</v>
      </c>
      <c r="W136" s="7"/>
      <c r="X136" s="7"/>
      <c r="Y136" s="7">
        <f>ProjectRunLog[[#This Row],[Centre Temp After FRA (°C)]]-ProjectRunLog[[#This Row],[Centre Temp Before FRA (°C)]]</f>
        <v>0</v>
      </c>
      <c r="AL136" t="s">
        <v>402</v>
      </c>
    </row>
    <row r="137" spans="1:39" s="22" customFormat="1">
      <c r="A137" s="22" t="s">
        <v>418</v>
      </c>
      <c r="B137" s="23">
        <v>46293</v>
      </c>
      <c r="J137" s="22" t="s">
        <v>395</v>
      </c>
      <c r="K137" s="22" t="s">
        <v>384</v>
      </c>
      <c r="W137" s="24"/>
      <c r="X137" s="24"/>
      <c r="Y137" s="24">
        <f>ProjectRunLog[[#This Row],[Centre Temp After FRA (°C)]]-ProjectRunLog[[#This Row],[Centre Temp Before FRA (°C)]]</f>
        <v>0</v>
      </c>
      <c r="AL137" s="22" t="s">
        <v>398</v>
      </c>
    </row>
    <row r="138" spans="1:39">
      <c r="A138" t="s">
        <v>419</v>
      </c>
      <c r="B138" s="19">
        <v>46293</v>
      </c>
      <c r="J138" t="s">
        <v>395</v>
      </c>
      <c r="K138" t="s">
        <v>384</v>
      </c>
      <c r="W138" s="7"/>
      <c r="X138" s="7"/>
      <c r="Y138" s="7">
        <f>ProjectRunLog[[#This Row],[Centre Temp After FRA (°C)]]-ProjectRunLog[[#This Row],[Centre Temp Before FRA (°C)]]</f>
        <v>0</v>
      </c>
      <c r="AL138" t="s">
        <v>403</v>
      </c>
    </row>
    <row r="139" spans="1:39" s="22" customFormat="1">
      <c r="A139" s="22" t="s">
        <v>420</v>
      </c>
      <c r="B139" s="23">
        <v>46293</v>
      </c>
      <c r="J139" s="22" t="s">
        <v>395</v>
      </c>
      <c r="K139" s="22" t="s">
        <v>384</v>
      </c>
      <c r="W139" s="24"/>
      <c r="X139" s="24"/>
      <c r="Y139" s="24">
        <f>ProjectRunLog[[#This Row],[Centre Temp After FRA (°C)]]-ProjectRunLog[[#This Row],[Centre Temp Before FRA (°C)]]</f>
        <v>0</v>
      </c>
      <c r="AL139" s="22" t="s">
        <v>399</v>
      </c>
    </row>
    <row r="140" spans="1:39">
      <c r="A140" t="s">
        <v>421</v>
      </c>
      <c r="B140" s="19">
        <v>46293</v>
      </c>
      <c r="J140" t="s">
        <v>395</v>
      </c>
      <c r="K140" t="s">
        <v>384</v>
      </c>
      <c r="W140" s="7"/>
      <c r="X140" s="7"/>
      <c r="Y140" s="7">
        <f>ProjectRunLog[[#This Row],[Centre Temp After FRA (°C)]]-ProjectRunLog[[#This Row],[Centre Temp Before FRA (°C)]]</f>
        <v>0</v>
      </c>
      <c r="AL140" t="s">
        <v>404</v>
      </c>
    </row>
    <row r="141" spans="1:39" s="22" customFormat="1">
      <c r="A141" s="22" t="s">
        <v>422</v>
      </c>
      <c r="B141" s="23">
        <v>46293</v>
      </c>
      <c r="J141" s="22" t="s">
        <v>395</v>
      </c>
      <c r="K141" s="22" t="s">
        <v>384</v>
      </c>
      <c r="W141" s="24"/>
      <c r="X141" s="24"/>
      <c r="Y141" s="24">
        <f>ProjectRunLog[[#This Row],[Centre Temp After FRA (°C)]]-ProjectRunLog[[#This Row],[Centre Temp Before FRA (°C)]]</f>
        <v>0</v>
      </c>
      <c r="AL141" s="22" t="s">
        <v>400</v>
      </c>
    </row>
    <row r="142" spans="1:39">
      <c r="A142" t="s">
        <v>424</v>
      </c>
      <c r="B142" s="19">
        <v>46294</v>
      </c>
      <c r="J142" t="s">
        <v>425</v>
      </c>
      <c r="K142" t="s">
        <v>426</v>
      </c>
      <c r="W142" s="7"/>
      <c r="X142" s="7"/>
      <c r="Y142" s="7">
        <f>ProjectRunLog[[#This Row],[Centre Temp After FRA (°C)]]-ProjectRunLog[[#This Row],[Centre Temp Before FRA (°C)]]</f>
        <v>0</v>
      </c>
      <c r="AM142" t="s">
        <v>427</v>
      </c>
    </row>
    <row r="143" spans="1:39">
      <c r="A143" t="s">
        <v>423</v>
      </c>
      <c r="B143" s="19">
        <v>46297</v>
      </c>
      <c r="J143" t="s">
        <v>431</v>
      </c>
      <c r="K143" t="s">
        <v>434</v>
      </c>
      <c r="W143" s="7"/>
      <c r="X143" s="7"/>
      <c r="Y143" s="7">
        <f>ProjectRunLog[[#This Row],[Centre Temp After FRA (°C)]]-ProjectRunLog[[#This Row],[Centre Temp Before FRA (°C)]]</f>
        <v>0</v>
      </c>
      <c r="AM143" t="s">
        <v>428</v>
      </c>
    </row>
    <row r="144" spans="1:39">
      <c r="A144" t="s">
        <v>430</v>
      </c>
      <c r="B144" s="19">
        <v>46301</v>
      </c>
      <c r="J144" t="s">
        <v>432</v>
      </c>
      <c r="K144" t="s">
        <v>433</v>
      </c>
      <c r="W144" s="7"/>
      <c r="X144" s="7"/>
      <c r="Y144" s="7">
        <f>ProjectRunLog[[#This Row],[Centre Temp After FRA (°C)]]-ProjectRunLog[[#This Row],[Centre Temp Before FRA (°C)]]</f>
        <v>0</v>
      </c>
      <c r="AM144" t="s">
        <v>429</v>
      </c>
    </row>
    <row r="145" spans="1:39">
      <c r="A145" t="s">
        <v>435</v>
      </c>
      <c r="B145" s="19">
        <v>46303</v>
      </c>
      <c r="J145" t="s">
        <v>437</v>
      </c>
      <c r="K145" t="s">
        <v>439</v>
      </c>
      <c r="W145" s="7"/>
      <c r="X145" s="7"/>
      <c r="Y145" s="7">
        <f>ProjectRunLog[[#This Row],[Centre Temp After FRA (°C)]]-ProjectRunLog[[#This Row],[Centre Temp Before FRA (°C)]]</f>
        <v>0</v>
      </c>
      <c r="AM145" t="s">
        <v>441</v>
      </c>
    </row>
    <row r="146" spans="1:39">
      <c r="A146" t="s">
        <v>436</v>
      </c>
      <c r="B146" s="19">
        <v>46304</v>
      </c>
      <c r="J146" t="s">
        <v>438</v>
      </c>
      <c r="K146" t="s">
        <v>440</v>
      </c>
      <c r="W146" s="7"/>
      <c r="X146" s="7"/>
      <c r="Y146" s="7">
        <f>ProjectRunLog[[#This Row],[Centre Temp After FRA (°C)]]-ProjectRunLog[[#This Row],[Centre Temp Before FRA (°C)]]</f>
        <v>0</v>
      </c>
      <c r="AM146" t="s">
        <v>442</v>
      </c>
    </row>
  </sheetData>
  <conditionalFormatting sqref="AK2:AK146">
    <cfRule type="expression" dxfId="5" priority="1">
      <formula>AK2="CHECK"</formula>
    </cfRule>
    <cfRule type="expression" dxfId="4" priority="2">
      <formula>AK2="REJECT"</formula>
    </cfRule>
  </conditionalFormatting>
  <dataValidations count="10">
    <dataValidation sqref="AL1:AL37 AL39:AL1048576" xr:uid="{00000000-0002-0000-0000-000009000000}"/>
    <dataValidation type="list" sqref="AK1:AK1048576" xr:uid="{00000000-0002-0000-0000-000000000000}">
      <formula1>"Nova export,Nova screenshot,MATLAB fit,N/A,Not captured,Other"</formula1>
    </dataValidation>
    <dataValidation type="list" sqref="D2:D468" xr:uid="{00000000-0002-0000-0000-000001000000}">
      <formula1>"Pair 1,Pair 2,Pair 3,Pair 4,Pair 5,Pair 6,Pair 7,Pair 8,Pair 9,Pair 10"</formula1>
    </dataValidation>
    <dataValidation type="list" sqref="E2:E468" xr:uid="{00000000-0002-0000-0000-000002000000}">
      <formula1>"Dummy FRA,DC I-V Curve,POT FRA,GAL FRA"</formula1>
    </dataValidation>
    <dataValidation type="list" sqref="F2:F468" xr:uid="{00000000-0002-0000-0000-000003000000}">
      <formula1>"GSM80W,Dummy Cell"</formula1>
    </dataValidation>
    <dataValidation type="list" sqref="G2:G468" xr:uid="{00000000-0002-0000-0000-000004000000}">
      <formula1>"Potentiostatic,Galvanostatic,DC Characterisation"</formula1>
    </dataValidation>
    <dataValidation type="list" sqref="H2:H468" xr:uid="{00000000-0002-0000-0000-000005000000}">
      <formula1>"Healthy,Instrument verification,Partial shading,Module mismatch,Soiling,Hotspot mimic,Other"</formula1>
    </dataValidation>
    <dataValidation type="list" sqref="S2:S468" xr:uid="{00000000-0002-0000-0000-000006000000}">
      <formula1>"mV RMS,mA RMS"</formula1>
    </dataValidation>
    <dataValidation type="list" allowBlank="1" showInputMessage="1" showErrorMessage="1" sqref="AJ1:AJ1048576" xr:uid="{00000000-0002-0000-0000-000007000000}">
      <formula1>"ACCEPT,CHECK,REJECT,REPEAT"</formula1>
    </dataValidation>
    <dataValidation type="list" allowBlank="1" showInputMessage="1" showErrorMessage="1" sqref="I1:I1048576" xr:uid="{00000000-0002-0000-0000-000008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5"/>
  <cols>
    <col min="1" max="1" width="24" customWidth="1"/>
    <col min="2" max="2" width="38" customWidth="1"/>
    <col min="3" max="3" width="46" customWidth="1"/>
    <col min="4" max="4" width="36" customWidth="1"/>
  </cols>
  <sheetData>
    <row r="1" spans="1:4" ht="16">
      <c r="A1" s="1" t="s">
        <v>85</v>
      </c>
      <c r="B1" s="1" t="s">
        <v>86</v>
      </c>
      <c r="C1" s="1" t="s">
        <v>87</v>
      </c>
      <c r="D1" s="1" t="s">
        <v>88</v>
      </c>
    </row>
    <row r="2" spans="1:4" ht="32">
      <c r="A2" s="9" t="s">
        <v>0</v>
      </c>
      <c r="B2" s="2" t="s">
        <v>89</v>
      </c>
      <c r="C2" s="2" t="s">
        <v>90</v>
      </c>
      <c r="D2" s="2" t="s">
        <v>91</v>
      </c>
    </row>
    <row r="3" spans="1:4" ht="32">
      <c r="A3" s="9" t="s">
        <v>9</v>
      </c>
      <c r="B3" s="2" t="s">
        <v>92</v>
      </c>
      <c r="C3" s="2" t="s">
        <v>93</v>
      </c>
      <c r="D3" s="2" t="s">
        <v>54</v>
      </c>
    </row>
    <row r="4" spans="1:4" ht="32">
      <c r="A4" s="9" t="s">
        <v>10</v>
      </c>
      <c r="B4" s="2" t="s">
        <v>94</v>
      </c>
      <c r="C4" s="2" t="s">
        <v>95</v>
      </c>
      <c r="D4" s="2" t="s">
        <v>55</v>
      </c>
    </row>
    <row r="5" spans="1:4" ht="48">
      <c r="A5" s="9" t="s">
        <v>96</v>
      </c>
      <c r="B5" s="2" t="s">
        <v>97</v>
      </c>
      <c r="C5" s="2" t="s">
        <v>98</v>
      </c>
      <c r="D5" s="2" t="s">
        <v>99</v>
      </c>
    </row>
    <row r="6" spans="1:4" ht="32">
      <c r="A6" s="9" t="s">
        <v>100</v>
      </c>
      <c r="B6" s="2" t="s">
        <v>101</v>
      </c>
      <c r="C6" s="2" t="s">
        <v>102</v>
      </c>
      <c r="D6" s="2" t="s">
        <v>103</v>
      </c>
    </row>
    <row r="7" spans="1:4" ht="32">
      <c r="A7" s="9" t="s">
        <v>104</v>
      </c>
      <c r="B7" s="2" t="s">
        <v>105</v>
      </c>
      <c r="C7" s="2" t="s">
        <v>106</v>
      </c>
      <c r="D7" s="2" t="s">
        <v>107</v>
      </c>
    </row>
    <row r="8" spans="1:4" ht="32">
      <c r="A8" s="9" t="s">
        <v>33</v>
      </c>
      <c r="B8" s="2" t="s">
        <v>108</v>
      </c>
      <c r="C8" s="2" t="s">
        <v>109</v>
      </c>
      <c r="D8" s="2" t="s">
        <v>64</v>
      </c>
    </row>
    <row r="9" spans="1:4" ht="48">
      <c r="A9" s="9" t="s">
        <v>110</v>
      </c>
      <c r="B9" s="2" t="s">
        <v>111</v>
      </c>
      <c r="C9" s="2" t="s">
        <v>112</v>
      </c>
      <c r="D9" s="2" t="s">
        <v>113</v>
      </c>
    </row>
    <row r="11" spans="1:4" ht="48">
      <c r="A11" s="10" t="s">
        <v>114</v>
      </c>
      <c r="B11" s="2" t="s">
        <v>115</v>
      </c>
      <c r="C11" s="2" t="s">
        <v>116</v>
      </c>
      <c r="D11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Log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Langeveldt</cp:lastModifiedBy>
  <dcterms:created xsi:type="dcterms:W3CDTF">2026-08-19T09:35:12Z</dcterms:created>
  <dcterms:modified xsi:type="dcterms:W3CDTF">2026-10-13T08:24:18Z</dcterms:modified>
</cp:coreProperties>
</file>
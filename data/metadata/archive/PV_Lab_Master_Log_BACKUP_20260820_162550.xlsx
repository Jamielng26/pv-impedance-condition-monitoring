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https://uctcloud-my.sharepoint.com/personal/lngjam012_myuct_ac_za/Documents/2026/S/EEE4022S/PV Impedance Project/Master Log/"/>
    </mc:Choice>
  </mc:AlternateContent>
  <xr:revisionPtr revIDLastSave="453" documentId="8_{B0843A2A-59E4-3943-BE40-F2F006E1C80D}" xr6:coauthVersionLast="47" xr6:coauthVersionMax="47" xr10:uidLastSave="{BA9E2496-87B6-5A40-80D0-B4EB60B8811D}"/>
  <bookViews>
    <workbookView xWindow="0" yWindow="600" windowWidth="28160" windowHeight="15320" xr2:uid="{00000000-000D-0000-FFFF-FFFF00000000}"/>
  </bookViews>
  <sheets>
    <sheet name="Run Log" sheetId="1" r:id="rId1"/>
    <sheet name="Field Gui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5" i="1" l="1"/>
  <c r="Y24" i="1"/>
  <c r="Y17" i="1"/>
  <c r="Y23" i="1"/>
  <c r="Y22" i="1"/>
  <c r="Y21" i="1"/>
  <c r="Y20" i="1"/>
  <c r="Y19" i="1"/>
  <c r="Y18" i="1"/>
  <c r="Y16" i="1" l="1"/>
  <c r="Y15" i="1" l="1"/>
  <c r="Y14" i="1"/>
  <c r="Y13" i="1"/>
  <c r="Y12" i="1"/>
  <c r="Y11" i="1"/>
  <c r="Y2" i="1"/>
  <c r="Y3" i="1"/>
  <c r="Y4" i="1"/>
  <c r="Y5" i="1"/>
  <c r="Y6" i="1"/>
  <c r="Y7" i="1"/>
  <c r="Y8" i="1"/>
  <c r="Y9" i="1"/>
  <c r="Y10" i="1"/>
</calcChain>
</file>

<file path=xl/sharedStrings.xml><?xml version="1.0" encoding="utf-8"?>
<sst xmlns="http://schemas.openxmlformats.org/spreadsheetml/2006/main" count="368" uniqueCount="152">
  <si>
    <t>Run ID</t>
  </si>
  <si>
    <t>Date</t>
  </si>
  <si>
    <t>Start Time</t>
  </si>
  <si>
    <t>Pair</t>
  </si>
  <si>
    <t>Test Stage</t>
  </si>
  <si>
    <t>Specimen</t>
  </si>
  <si>
    <t>Control Mode</t>
  </si>
  <si>
    <t>Condition</t>
  </si>
  <si>
    <t>Operating Point</t>
  </si>
  <si>
    <t>Environment ID</t>
  </si>
  <si>
    <t>Environment File</t>
  </si>
  <si>
    <t>Target Panel DC V (V)</t>
  </si>
  <si>
    <t>Target Panel DC I (A)</t>
  </si>
  <si>
    <t>Nova Apply V (V)</t>
  </si>
  <si>
    <t>Nova Apply I (A)</t>
  </si>
  <si>
    <t>Actual Settled DC V (V)</t>
  </si>
  <si>
    <t>Actual Settled DC I (A)</t>
  </si>
  <si>
    <t>AC Amplitude</t>
  </si>
  <si>
    <t>AC Unit</t>
  </si>
  <si>
    <t>Start Freq (Hz)</t>
  </si>
  <si>
    <t>Stop Freq (Hz)</t>
  </si>
  <si>
    <t>Points/Decade</t>
  </si>
  <si>
    <t>Voc (V)</t>
  </si>
  <si>
    <t>Isc (A)</t>
  </si>
  <si>
    <t>Vmp (V)</t>
  </si>
  <si>
    <t>Imp (A)</t>
  </si>
  <si>
    <t>Pmp (W)</t>
  </si>
  <si>
    <t>Mean |K-K Error Z'| (%)</t>
  </si>
  <si>
    <t>Rs (Ω)</t>
  </si>
  <si>
    <t>Rp / Rct (Ω)</t>
  </si>
  <si>
    <t>CPE Y0</t>
  </si>
  <si>
    <t>CPE n</t>
  </si>
  <si>
    <t>Status</t>
  </si>
  <si>
    <t>Circuit Fit Source</t>
  </si>
  <si>
    <t>Data File Name</t>
  </si>
  <si>
    <t>Notes</t>
  </si>
  <si>
    <t>20260818-001</t>
  </si>
  <si>
    <t>2026-08-18</t>
  </si>
  <si>
    <t>Dummy FRA</t>
  </si>
  <si>
    <t>Dummy Cell</t>
  </si>
  <si>
    <t>Potentiostatic</t>
  </si>
  <si>
    <t>Instrument verification</t>
  </si>
  <si>
    <t>Dummy network</t>
  </si>
  <si>
    <t>CHECK</t>
  </si>
  <si>
    <t>Not captured</t>
  </si>
  <si>
    <t>260818_DUMMY_HLT_REF_OPA_FRA_POT_R01.xlsx</t>
  </si>
  <si>
    <t>Day 1 dummy verification. Raw impedance points exported; circuit-fit and K-K summary were not captured.</t>
  </si>
  <si>
    <t>20260818-002</t>
  </si>
  <si>
    <t>Pair 1</t>
  </si>
  <si>
    <t>DC I-V Curve</t>
  </si>
  <si>
    <t>GSM80W</t>
  </si>
  <si>
    <t>DC Characterisation</t>
  </si>
  <si>
    <t>Healthy</t>
  </si>
  <si>
    <t>Pre-condition I-V</t>
  </si>
  <si>
    <t>20260818-E01</t>
  </si>
  <si>
    <t>20260818_Day01_Environment.xlsx</t>
  </si>
  <si>
    <t>ACCEPT</t>
  </si>
  <si>
    <t>N/A</t>
  </si>
  <si>
    <t>260818_GSM_HLT_REF_OPA_IV_R01.xlsx</t>
  </si>
  <si>
    <t>Approximate Voc: sweep ended at 21.597 V with current ≈7 mA, so it was very close to open circuit. P-V export: 260818_GSM_HLT_REF_OPA_PV_R01.xlsx.</t>
  </si>
  <si>
    <t>20260818-003</t>
  </si>
  <si>
    <t>POT FRA</t>
  </si>
  <si>
    <t>OPA – near Voc</t>
  </si>
  <si>
    <t>mV RMS</t>
  </si>
  <si>
    <t>Nova screenshot</t>
  </si>
  <si>
    <t>260818_GSM_HLT_REF_OPA_FRA_POT_R01.xlsx</t>
  </si>
  <si>
    <t>Actual settled DC V/I not recorded. POT/GAL Pair 1 used different frequency windows. CPE Y0 differs strongly from GAL R01; investigate before quantitative use.</t>
  </si>
  <si>
    <t>20260818-004</t>
  </si>
  <si>
    <t>GAL FRA</t>
  </si>
  <si>
    <t>Galvanostatic</t>
  </si>
  <si>
    <t>mA RMS</t>
  </si>
  <si>
    <t>260818_GSM_HLT_REF_OPA_FRA_GAL_R01.xlsx</t>
  </si>
  <si>
    <t>Actual settled DC V/I not recorded. Frequency window differs from POT R01. CPE Y0 differs strongly from POT R01; investigate before quantitative use.</t>
  </si>
  <si>
    <t>20260818-005</t>
  </si>
  <si>
    <t>Pair 2</t>
  </si>
  <si>
    <t>Mid-condition I-V</t>
  </si>
  <si>
    <t>20260818-E02</t>
  </si>
  <si>
    <t>260818_GSM_HLT_REF_OPA_IV_R02.xlsx</t>
  </si>
  <si>
    <t>Sweep did not reach open circuit: final point was 21.600 V while current was still ≈0.1695 A, so Voc is intentionally blank. P-V export: 260818_GSM_HLT_REF_OPA_PV_R02.xlsx.</t>
  </si>
  <si>
    <t>20260818-006</t>
  </si>
  <si>
    <t>260818_GSM_HLT_REF_OPA_FRA_POT_R02.xlsx</t>
  </si>
  <si>
    <t>Actual settled DC V/I not recorded. Pair 2 fit parameters agree closely with GAL R02, but Day 1 frequency windows were different; match them from Day 2 onward.</t>
  </si>
  <si>
    <t>20260818-007</t>
  </si>
  <si>
    <t>260818_GSM_HLT_REF_OPA_FRA_GAL_R02.xlsx</t>
  </si>
  <si>
    <t>Actual settled DC V/I not recorded. Pair 2 fit parameters agree closely with POT R02, but Day 1 frequency windows were different; match them from Day 2 onward.</t>
  </si>
  <si>
    <t>Field</t>
  </si>
  <si>
    <t>Meaning</t>
  </si>
  <si>
    <t>How to use it</t>
  </si>
  <si>
    <t>Example</t>
  </si>
  <si>
    <t>Unique ID for every instrument measurement.</t>
  </si>
  <si>
    <t>Never reuse an ID. IDs are date-based and restart at 001 each lab day.</t>
  </si>
  <si>
    <t>20260819-004</t>
  </si>
  <si>
    <t>Links a run to the separate daily environment workbook.</t>
  </si>
  <si>
    <t>Use one Environment ID for all runs represented by that 3×3 temperature/irradiance snapshot.</t>
  </si>
  <si>
    <t>Daily workbook containing raw temperature/irradiance data.</t>
  </si>
  <si>
    <t>The master log stores only the reference, not the environmental measurements themselves.</t>
  </si>
  <si>
    <t>Target Panel DC V / I</t>
  </si>
  <si>
    <t>Physical operating point you intend to reach.</t>
  </si>
  <si>
    <t>For POT, voltage is controlled; for GAL, current is controlled. The second target can describe the intended matched point.</t>
  </si>
  <si>
    <t>21.6 V, 0 A</t>
  </si>
  <si>
    <t>Nova Apply V / I</t>
  </si>
  <si>
    <t>Exact value typed into Nova's Apply block.</t>
  </si>
  <si>
    <t>Voltage is divided by 10 because of the multiplier. Current is not scaled.</t>
  </si>
  <si>
    <t>21.6 V target → 2.16 V in Nova</t>
  </si>
  <si>
    <t>Actual Settled DC V / I</t>
  </si>
  <si>
    <t>Where the panel actually settles before the FRA sweep.</t>
  </si>
  <si>
    <t>Record both values after Cell On + Wait. Use these to confirm POT and GAL truly tested the same state.</t>
  </si>
  <si>
    <t>21.58 V, 0.012 A</t>
  </si>
  <si>
    <t>Where fitted parameters came from.</t>
  </si>
  <si>
    <t>Prefer direct Nova export; otherwise record screenshot/manual transcription.</t>
  </si>
  <si>
    <t>Day 1 filenames</t>
  </si>
  <si>
    <t>Existing Day 1 raw files are kept as recorded.</t>
  </si>
  <si>
    <t>Do not rename raw data just to match the new convention; use YYYYMMDD for all new files from Day 2 onward.</t>
  </si>
  <si>
    <t>260818_... retained; 20260819_... going forward</t>
  </si>
  <si>
    <t>Dropdown fields</t>
  </si>
  <si>
    <t>Common categorical fields in the Run Log use dropdowns.</t>
  </si>
  <si>
    <t>Pair, Test Stage, Specimen, Control Mode, Condition, Operating Point, AC Unit, Status and Circuit Fit Source.</t>
  </si>
  <si>
    <t>You can select these instead of retyping them.</t>
  </si>
  <si>
    <t>20260819-001</t>
  </si>
  <si>
    <t>20260819-E01</t>
  </si>
  <si>
    <t>20260819_Day02_Environment.xlsx</t>
  </si>
  <si>
    <t>20260819-002</t>
  </si>
  <si>
    <t>Centre Temp Before FRA (°C)</t>
  </si>
  <si>
    <t>Centre Temp After FRA (°C)</t>
  </si>
  <si>
    <t>ΔT During FRA (°C)</t>
  </si>
  <si>
    <t>20260819-003</t>
  </si>
  <si>
    <t>20260819-005</t>
  </si>
  <si>
    <t>20260819-006</t>
  </si>
  <si>
    <t>20260819-007</t>
  </si>
  <si>
    <t>20260819_GSM_HLT_DC</t>
  </si>
  <si>
    <t>20260820-001</t>
  </si>
  <si>
    <t>20260820-E01</t>
  </si>
  <si>
    <t>20260820_Day03_Environment.xlsx</t>
  </si>
  <si>
    <t>20260820-002</t>
  </si>
  <si>
    <t>20260820-003</t>
  </si>
  <si>
    <t>20260820-004</t>
  </si>
  <si>
    <t>20260820-005</t>
  </si>
  <si>
    <t>20260820-006</t>
  </si>
  <si>
    <t>20260820-007</t>
  </si>
  <si>
    <t>20260820-008</t>
  </si>
  <si>
    <t>20260820-009</t>
  </si>
  <si>
    <t>20260820-E02</t>
  </si>
  <si>
    <t>20260820_GSM_HLT_DC_R01</t>
  </si>
  <si>
    <t>20260820_GSM_HLT_DC_R02</t>
  </si>
  <si>
    <t>20260820_GSM_HLT_DC_R03</t>
  </si>
  <si>
    <t>20260820_GSM_HLT_FRA_POT_OPA_R01</t>
  </si>
  <si>
    <t>20260820_GSM_HLT_FRA_POT_OPA_R02</t>
  </si>
  <si>
    <t>20260820_GSM_HLT_FRA_POT_OPA_R03</t>
  </si>
  <si>
    <t>20260820_GSM_HLT_FRA_POT_OPA_R04</t>
  </si>
  <si>
    <t>20260820_GSM_HLT_FRA_POT_OPA_R05</t>
  </si>
  <si>
    <t>20260820_GSM_HLT_FRA_POT_OPA_R06</t>
  </si>
  <si>
    <t>Nova 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</si>
</sst>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"/>
  </numFmts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9EAF7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4" fontId="0" fillId="0" borderId="0" xfId="0" applyNumberFormat="1"/>
    <xf numFmtId="20" fontId="0" fillId="0" borderId="0" xfId="0" applyNumberFormat="1" applyAlignment="1">
      <alignment wrapText="1"/>
    </xf>
    <xf numFmtId="20" fontId="0" fillId="0" borderId="0" xfId="0" applyNumberFormat="1"/>
    <xf numFmtId="165" fontId="0" fillId="0" borderId="0" xfId="0" applyNumberFormat="1" applyAlignment="1">
      <alignment wrapText="1"/>
    </xf>
    <xf numFmtId="165" fontId="0" fillId="0" borderId="0" xfId="0" applyNumberFormat="1"/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0" fillId="5" borderId="0" xfId="0" applyFill="1"/>
    <xf numFmtId="164" fontId="0" fillId="5" borderId="0" xfId="0" applyNumberFormat="1" applyFill="1"/>
    <xf numFmtId="20" fontId="0" fillId="5" borderId="0" xfId="0" applyNumberFormat="1" applyFill="1"/>
    <xf numFmtId="165" fontId="0" fillId="5" borderId="0" xfId="0" applyNumberFormat="1" applyFill="1"/>
    <xf numFmtId="0" fontId="0" fillId="5" borderId="0" xfId="0" applyFill="1" applyAlignment="1">
      <alignment wrapText="1"/>
    </xf>
    <xf numFmtId="164" fontId="0" fillId="5" borderId="0" xfId="0" applyNumberFormat="1" applyFill="1" applyAlignment="1">
      <alignment wrapText="1"/>
    </xf>
    <xf numFmtId="20" fontId="0" fillId="5" borderId="0" xfId="0" applyNumberFormat="1" applyFill="1" applyAlignment="1">
      <alignment wrapText="1"/>
    </xf>
    <xf numFmtId="165" fontId="0" fillId="5" borderId="0" xfId="0" applyNumberFormat="1" applyFill="1" applyAlignment="1">
      <alignment wrapText="1"/>
    </xf>
  </cellXfs>
  <cellStyles count="1">
    <cellStyle name="Normal" xfId="0" builtinId="0"/>
  </cellStyles>
  <dxfs count="5">
    <dxf>
      <fill>
        <patternFill>
          <bgColor rgb="FFF4CCCC"/>
        </patternFill>
      </fill>
    </dxf>
    <dxf>
      <fill>
        <patternFill>
          <bgColor rgb="FFFFF2CC"/>
        </patternFill>
      </fill>
    </dxf>
    <dxf>
      <numFmt numFmtId="165" formatCode="0.000"/>
      <alignment horizontal="general" vertical="bottom" textRotation="0" wrapText="1" indent="0" justifyLastLine="0" shrinkToFit="0" readingOrder="0"/>
    </dxf>
    <dxf>
      <numFmt numFmtId="165" formatCode="0.000"/>
      <alignment horizontal="general" vertical="bottom" textRotation="0" wrapText="1" indent="0" justifyLastLine="0" shrinkToFit="0" readingOrder="0"/>
    </dxf>
    <dxf>
      <numFmt numFmtId="165" formatCode="0.000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jectRunLog" displayName="ProjectRunLog" ref="A1:AM25" totalsRowShown="0">
  <tableColumns count="39">
    <tableColumn id="1" xr3:uid="{00000000-0010-0000-0000-000001000000}" name="Run ID"/>
    <tableColumn id="2" xr3:uid="{00000000-0010-0000-0000-000002000000}" name="Date"/>
    <tableColumn id="3" xr3:uid="{00000000-0010-0000-0000-000003000000}" name="Start Time"/>
    <tableColumn id="4" xr3:uid="{00000000-0010-0000-0000-000004000000}" name="Pair"/>
    <tableColumn id="5" xr3:uid="{00000000-0010-0000-0000-000005000000}" name="Test Stage"/>
    <tableColumn id="6" xr3:uid="{00000000-0010-0000-0000-000006000000}" name="Specimen"/>
    <tableColumn id="7" xr3:uid="{00000000-0010-0000-0000-000007000000}" name="Control Mode"/>
    <tableColumn id="8" xr3:uid="{00000000-0010-0000-0000-000008000000}" name="Condition"/>
    <tableColumn id="9" xr3:uid="{00000000-0010-0000-0000-000009000000}" name="Operating Point"/>
    <tableColumn id="10" xr3:uid="{00000000-0010-0000-0000-00000A000000}" name="Environment ID"/>
    <tableColumn id="11" xr3:uid="{00000000-0010-0000-0000-00000B000000}" name="Environment File"/>
    <tableColumn id="12" xr3:uid="{00000000-0010-0000-0000-00000C000000}" name="Target Panel DC V (V)"/>
    <tableColumn id="13" xr3:uid="{00000000-0010-0000-0000-00000D000000}" name="Target Panel DC I (A)"/>
    <tableColumn id="14" xr3:uid="{00000000-0010-0000-0000-00000E000000}" name="Nova Apply V (V)"/>
    <tableColumn id="15" xr3:uid="{00000000-0010-0000-0000-00000F000000}" name="Nova Apply I (A)"/>
    <tableColumn id="16" xr3:uid="{00000000-0010-0000-0000-000010000000}" name="Actual Settled DC V (V)"/>
    <tableColumn id="17" xr3:uid="{00000000-0010-0000-0000-000011000000}" name="Actual Settled DC I (A)"/>
    <tableColumn id="18" xr3:uid="{00000000-0010-0000-0000-000012000000}" name="AC Amplitude"/>
    <tableColumn id="19" xr3:uid="{00000000-0010-0000-0000-000013000000}" name="AC Unit"/>
    <tableColumn id="20" xr3:uid="{00000000-0010-0000-0000-000014000000}" name="Start Freq (Hz)"/>
    <tableColumn id="21" xr3:uid="{00000000-0010-0000-0000-000015000000}" name="Stop Freq (Hz)"/>
    <tableColumn id="22" xr3:uid="{00000000-0010-0000-0000-000016000000}" name="Points/Decade"/>
    <tableColumn id="39" xr3:uid="{3ECE8F98-C6AB-3A4F-85F1-9DD8A6C83A4A}" name="Centre Temp Before FRA (°C)" dataDxfId="4"/>
    <tableColumn id="38" xr3:uid="{A733C137-5494-BA4D-B728-B43A73687DCE}" name="Centre Temp After FRA (°C)" dataDxfId="3"/>
    <tableColumn id="37" xr3:uid="{F332E8B8-A3DB-D142-93A4-5DA1CFFE75BD}" name="ΔT During FRA (°C)" dataDxfId="2">
      <calculatedColumnFormula>ProjectRunLog[[#This Row],[Centre Temp After FRA (°C)]]-ProjectRunLog[[#This Row],[Centre Temp Before FRA (°C)]]</calculatedColumnFormula>
    </tableColumn>
    <tableColumn id="23" xr3:uid="{00000000-0010-0000-0000-000017000000}" name="Voc (V)"/>
    <tableColumn id="24" xr3:uid="{00000000-0010-0000-0000-000018000000}" name="Isc (A)"/>
    <tableColumn id="25" xr3:uid="{00000000-0010-0000-0000-000019000000}" name="Vmp (V)"/>
    <tableColumn id="26" xr3:uid="{00000000-0010-0000-0000-00001A000000}" name="Imp (A)"/>
    <tableColumn id="27" xr3:uid="{00000000-0010-0000-0000-00001B000000}" name="Pmp (W)"/>
    <tableColumn id="28" xr3:uid="{00000000-0010-0000-0000-00001C000000}" name="Mean |K-K Error Z'| (%)"/>
    <tableColumn id="29" xr3:uid="{00000000-0010-0000-0000-00001D000000}" name="Rs (Ω)"/>
    <tableColumn id="30" xr3:uid="{00000000-0010-0000-0000-00001E000000}" name="Rp / Rct (Ω)"/>
    <tableColumn id="31" xr3:uid="{00000000-0010-0000-0000-00001F000000}" name="CPE Y0"/>
    <tableColumn id="32" xr3:uid="{00000000-0010-0000-0000-000020000000}" name="CPE n"/>
    <tableColumn id="33" xr3:uid="{00000000-0010-0000-0000-000021000000}" name="Status"/>
    <tableColumn id="34" xr3:uid="{00000000-0010-0000-0000-000022000000}" name="Circuit Fit Source"/>
    <tableColumn id="35" xr3:uid="{00000000-0010-0000-0000-000023000000}" name="Data File Name"/>
    <tableColumn id="36" xr3:uid="{00000000-0010-0000-0000-000024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1"/>
  <sheetViews>
    <sheetView tabSelected="1" topLeftCell="AH1" zoomScale="101" workbookViewId="0">
      <selection activeCell="AM21" sqref="AM21"/>
    </sheetView>
  </sheetViews>
  <sheetFormatPr baseColWidth="10" defaultColWidth="8.83203125" defaultRowHeight="14"/>
  <cols>
    <col min="1" max="1" width="12.83203125" bestFit="1" customWidth="1"/>
    <col min="2" max="2" width="10.5" bestFit="1" customWidth="1"/>
    <col min="3" max="3" width="5.6640625" bestFit="1" customWidth="1"/>
    <col min="4" max="4" width="5.83203125" bestFit="1" customWidth="1"/>
    <col min="5" max="5" width="12.1640625" bestFit="1" customWidth="1"/>
    <col min="6" max="6" width="11" bestFit="1" customWidth="1"/>
    <col min="7" max="7" width="17.83203125" bestFit="1" customWidth="1"/>
    <col min="8" max="8" width="18.1640625" customWidth="1"/>
    <col min="9" max="9" width="14.6640625" bestFit="1" customWidth="1"/>
    <col min="10" max="10" width="15.33203125" customWidth="1"/>
    <col min="11" max="11" width="31" bestFit="1" customWidth="1"/>
    <col min="12" max="12" width="21.5" customWidth="1"/>
    <col min="13" max="13" width="21.33203125" customWidth="1"/>
    <col min="14" max="14" width="15.83203125" customWidth="1"/>
    <col min="15" max="15" width="16.1640625" customWidth="1"/>
    <col min="16" max="16" width="22.83203125" customWidth="1"/>
    <col min="17" max="17" width="22.6640625" customWidth="1"/>
    <col min="18" max="18" width="15" customWidth="1"/>
    <col min="19" max="19" width="12.1640625" customWidth="1"/>
    <col min="20" max="20" width="14.33203125" customWidth="1"/>
    <col min="21" max="21" width="17.6640625" customWidth="1"/>
    <col min="22" max="25" width="15.83203125" customWidth="1"/>
    <col min="26" max="26" width="10" customWidth="1"/>
    <col min="27" max="27" width="11.1640625" customWidth="1"/>
    <col min="28" max="28" width="11.6640625" customWidth="1"/>
    <col min="29" max="29" width="11.1640625" customWidth="1"/>
    <col min="30" max="30" width="13.6640625" customWidth="1"/>
    <col min="31" max="31" width="22.33203125" customWidth="1"/>
    <col min="32" max="32" width="13.5" customWidth="1"/>
    <col min="33" max="33" width="11.1640625" customWidth="1"/>
    <col min="34" max="34" width="11.5" customWidth="1"/>
    <col min="35" max="35" width="12.83203125" customWidth="1"/>
    <col min="36" max="36" width="10.6640625" customWidth="1"/>
    <col min="37" max="37" width="19.5" customWidth="1"/>
    <col min="38" max="38" width="50.1640625" customWidth="1"/>
    <col min="39" max="39" width="117.1640625" customWidth="1"/>
  </cols>
  <sheetData>
    <row r="1" spans="1:39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122</v>
      </c>
      <c r="X1" s="1" t="s">
        <v>123</v>
      </c>
      <c r="Y1" s="1" t="s">
        <v>124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</row>
    <row r="2" spans="1:39" s="11" customFormat="1" ht="30">
      <c r="A2" s="15" t="s">
        <v>36</v>
      </c>
      <c r="B2" s="16" t="s">
        <v>37</v>
      </c>
      <c r="C2" s="17"/>
      <c r="D2" s="15"/>
      <c r="E2" s="15" t="s">
        <v>38</v>
      </c>
      <c r="F2" s="15" t="s">
        <v>39</v>
      </c>
      <c r="G2" s="15" t="s">
        <v>40</v>
      </c>
      <c r="H2" s="15" t="s">
        <v>41</v>
      </c>
      <c r="I2" s="15" t="s">
        <v>42</v>
      </c>
      <c r="J2" s="15"/>
      <c r="K2" s="15"/>
      <c r="L2" s="18"/>
      <c r="M2" s="18"/>
      <c r="N2" s="18"/>
      <c r="O2" s="18"/>
      <c r="P2" s="18"/>
      <c r="Q2" s="18"/>
      <c r="R2" s="18"/>
      <c r="S2" s="18"/>
      <c r="T2" s="18">
        <v>100000</v>
      </c>
      <c r="U2" s="18">
        <v>0.1</v>
      </c>
      <c r="V2" s="18">
        <v>10</v>
      </c>
      <c r="W2" s="18"/>
      <c r="X2" s="18"/>
      <c r="Y2" s="18">
        <f>ProjectRunLog[[#This Row],[Centre Temp After FRA (°C)]]-ProjectRunLog[[#This Row],[Centre Temp Before FRA (°C)]]</f>
        <v>0</v>
      </c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 t="s">
        <v>43</v>
      </c>
      <c r="AK2" s="15" t="s">
        <v>44</v>
      </c>
      <c r="AL2" s="15" t="s">
        <v>45</v>
      </c>
      <c r="AM2" s="15" t="s">
        <v>46</v>
      </c>
    </row>
    <row r="3" spans="1:39" ht="30">
      <c r="A3" s="2" t="s">
        <v>47</v>
      </c>
      <c r="B3" s="3" t="s">
        <v>37</v>
      </c>
      <c r="C3" s="5">
        <v>0.63472222222222219</v>
      </c>
      <c r="D3" s="2" t="s">
        <v>48</v>
      </c>
      <c r="E3" s="2" t="s">
        <v>49</v>
      </c>
      <c r="F3" s="2" t="s">
        <v>50</v>
      </c>
      <c r="G3" s="2" t="s">
        <v>51</v>
      </c>
      <c r="H3" s="2" t="s">
        <v>52</v>
      </c>
      <c r="I3" s="2" t="s">
        <v>53</v>
      </c>
      <c r="J3" s="2" t="s">
        <v>54</v>
      </c>
      <c r="K3" s="2" t="s">
        <v>55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>
        <f>ProjectRunLog[[#This Row],[Centre Temp After FRA (°C)]]-ProjectRunLog[[#This Row],[Centre Temp Before FRA (°C)]]</f>
        <v>0</v>
      </c>
      <c r="Z3" s="7">
        <v>21.5972900390625</v>
      </c>
      <c r="AA3" s="7">
        <v>0.77117919921875</v>
      </c>
      <c r="AB3" s="7">
        <v>18.988037109375</v>
      </c>
      <c r="AC3" s="7">
        <v>0.69000244140625</v>
      </c>
      <c r="AD3" s="7">
        <v>13.101792335510254</v>
      </c>
      <c r="AE3" s="7"/>
      <c r="AF3" s="7"/>
      <c r="AG3" s="7"/>
      <c r="AH3" s="7"/>
      <c r="AI3" s="7"/>
      <c r="AJ3" s="7" t="s">
        <v>56</v>
      </c>
      <c r="AK3" s="2" t="s">
        <v>57</v>
      </c>
      <c r="AL3" s="2" t="s">
        <v>58</v>
      </c>
      <c r="AM3" s="2" t="s">
        <v>59</v>
      </c>
    </row>
    <row r="4" spans="1:39" ht="30">
      <c r="A4" s="2" t="s">
        <v>60</v>
      </c>
      <c r="B4" s="3" t="s">
        <v>37</v>
      </c>
      <c r="C4" s="5">
        <v>0.64722222222222225</v>
      </c>
      <c r="D4" s="2" t="s">
        <v>48</v>
      </c>
      <c r="E4" s="2" t="s">
        <v>61</v>
      </c>
      <c r="F4" s="2" t="s">
        <v>50</v>
      </c>
      <c r="G4" s="2" t="s">
        <v>40</v>
      </c>
      <c r="H4" s="2" t="s">
        <v>52</v>
      </c>
      <c r="I4" s="2" t="s">
        <v>62</v>
      </c>
      <c r="J4" s="2" t="s">
        <v>54</v>
      </c>
      <c r="K4" s="2" t="s">
        <v>55</v>
      </c>
      <c r="L4" s="7">
        <v>21.6</v>
      </c>
      <c r="M4" s="7">
        <v>0</v>
      </c>
      <c r="N4" s="7">
        <v>2.16</v>
      </c>
      <c r="O4" s="7"/>
      <c r="P4" s="7"/>
      <c r="Q4" s="7"/>
      <c r="R4" s="7">
        <v>50</v>
      </c>
      <c r="S4" s="7" t="s">
        <v>63</v>
      </c>
      <c r="T4" s="7">
        <v>100000</v>
      </c>
      <c r="U4" s="7">
        <v>1</v>
      </c>
      <c r="V4" s="7">
        <v>10</v>
      </c>
      <c r="W4" s="7"/>
      <c r="X4" s="7"/>
      <c r="Y4" s="7">
        <f>ProjectRunLog[[#This Row],[Centre Temp After FRA (°C)]]-ProjectRunLog[[#This Row],[Centre Temp Before FRA (°C)]]</f>
        <v>0</v>
      </c>
      <c r="Z4" s="7">
        <v>21.5972900390625</v>
      </c>
      <c r="AA4" s="7">
        <v>0.77117919921875</v>
      </c>
      <c r="AB4" s="7">
        <v>18.988037109375</v>
      </c>
      <c r="AC4" s="7">
        <v>0.69000244140625</v>
      </c>
      <c r="AD4" s="7">
        <v>13.101792335510254</v>
      </c>
      <c r="AE4" s="7">
        <v>0.19475012544443557</v>
      </c>
      <c r="AF4" s="7">
        <v>6.1806E-2</v>
      </c>
      <c r="AG4" s="7">
        <v>0.13120000000000001</v>
      </c>
      <c r="AH4" s="7">
        <v>1.5566E-5</v>
      </c>
      <c r="AI4" s="7">
        <v>0.96894000000000002</v>
      </c>
      <c r="AJ4" s="7" t="s">
        <v>43</v>
      </c>
      <c r="AK4" s="2" t="s">
        <v>64</v>
      </c>
      <c r="AL4" s="2" t="s">
        <v>65</v>
      </c>
      <c r="AM4" s="2" t="s">
        <v>66</v>
      </c>
    </row>
    <row r="5" spans="1:39" ht="30">
      <c r="A5" s="2" t="s">
        <v>67</v>
      </c>
      <c r="B5" s="3" t="s">
        <v>37</v>
      </c>
      <c r="C5" s="5">
        <v>0.66111111111111109</v>
      </c>
      <c r="D5" s="2" t="s">
        <v>48</v>
      </c>
      <c r="E5" s="2" t="s">
        <v>68</v>
      </c>
      <c r="F5" s="2" t="s">
        <v>50</v>
      </c>
      <c r="G5" s="2" t="s">
        <v>69</v>
      </c>
      <c r="H5" s="2" t="s">
        <v>52</v>
      </c>
      <c r="I5" s="2" t="s">
        <v>62</v>
      </c>
      <c r="J5" s="2" t="s">
        <v>54</v>
      </c>
      <c r="K5" s="2" t="s">
        <v>55</v>
      </c>
      <c r="L5" s="7">
        <v>21.6</v>
      </c>
      <c r="M5" s="7">
        <v>0</v>
      </c>
      <c r="N5" s="7"/>
      <c r="O5" s="7">
        <v>0</v>
      </c>
      <c r="P5" s="7"/>
      <c r="Q5" s="7"/>
      <c r="R5" s="7">
        <v>85</v>
      </c>
      <c r="S5" s="7" t="s">
        <v>70</v>
      </c>
      <c r="T5" s="7">
        <v>10000</v>
      </c>
      <c r="U5" s="7">
        <v>0.1</v>
      </c>
      <c r="V5" s="7">
        <v>10</v>
      </c>
      <c r="W5" s="7"/>
      <c r="X5" s="7"/>
      <c r="Y5" s="7">
        <f>ProjectRunLog[[#This Row],[Centre Temp After FRA (°C)]]-ProjectRunLog[[#This Row],[Centre Temp Before FRA (°C)]]</f>
        <v>0</v>
      </c>
      <c r="Z5" s="7">
        <v>21.5972900390625</v>
      </c>
      <c r="AA5" s="7">
        <v>0.77117919921875</v>
      </c>
      <c r="AB5" s="7">
        <v>18.988037109375</v>
      </c>
      <c r="AC5" s="7">
        <v>0.69000244140625</v>
      </c>
      <c r="AD5" s="7">
        <v>13.101792335510254</v>
      </c>
      <c r="AE5" s="7">
        <v>0.51655154065759423</v>
      </c>
      <c r="AF5" s="7">
        <v>6.2092000000000001E-2</v>
      </c>
      <c r="AG5" s="7">
        <v>0.13145000000000001</v>
      </c>
      <c r="AH5" s="7">
        <v>8.9168000000000008E-3</v>
      </c>
      <c r="AI5" s="7">
        <v>0.97611000000000003</v>
      </c>
      <c r="AJ5" s="7" t="s">
        <v>43</v>
      </c>
      <c r="AK5" s="2" t="s">
        <v>64</v>
      </c>
      <c r="AL5" s="2" t="s">
        <v>71</v>
      </c>
      <c r="AM5" s="2" t="s">
        <v>72</v>
      </c>
    </row>
    <row r="6" spans="1:39" ht="30">
      <c r="A6" s="2" t="s">
        <v>73</v>
      </c>
      <c r="B6" s="3" t="s">
        <v>37</v>
      </c>
      <c r="C6" s="5"/>
      <c r="D6" s="2" t="s">
        <v>74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75</v>
      </c>
      <c r="J6" s="2" t="s">
        <v>76</v>
      </c>
      <c r="K6" s="2" t="s">
        <v>55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>
        <f>ProjectRunLog[[#This Row],[Centre Temp After FRA (°C)]]-ProjectRunLog[[#This Row],[Centre Temp Before FRA (°C)]]</f>
        <v>0</v>
      </c>
      <c r="Z6" s="7"/>
      <c r="AA6" s="7">
        <v>1.23779296875</v>
      </c>
      <c r="AB6" s="7">
        <v>19.2596435546875</v>
      </c>
      <c r="AC6" s="7">
        <v>1.1358642578125</v>
      </c>
      <c r="AD6" s="7">
        <v>21.876339912414551</v>
      </c>
      <c r="AE6" s="7"/>
      <c r="AF6" s="7"/>
      <c r="AG6" s="7"/>
      <c r="AH6" s="7"/>
      <c r="AI6" s="7"/>
      <c r="AJ6" s="7" t="s">
        <v>43</v>
      </c>
      <c r="AK6" s="2" t="s">
        <v>57</v>
      </c>
      <c r="AL6" s="2" t="s">
        <v>77</v>
      </c>
      <c r="AM6" s="2" t="s">
        <v>78</v>
      </c>
    </row>
    <row r="7" spans="1:39" ht="30">
      <c r="A7" s="2" t="s">
        <v>79</v>
      </c>
      <c r="B7" s="3" t="s">
        <v>37</v>
      </c>
      <c r="C7" s="5">
        <v>0.69166666666666665</v>
      </c>
      <c r="D7" s="2" t="s">
        <v>74</v>
      </c>
      <c r="E7" s="2" t="s">
        <v>61</v>
      </c>
      <c r="F7" s="2" t="s">
        <v>50</v>
      </c>
      <c r="G7" s="2" t="s">
        <v>40</v>
      </c>
      <c r="H7" s="2" t="s">
        <v>52</v>
      </c>
      <c r="I7" s="2" t="s">
        <v>62</v>
      </c>
      <c r="J7" s="2" t="s">
        <v>76</v>
      </c>
      <c r="K7" s="2" t="s">
        <v>55</v>
      </c>
      <c r="L7" s="7">
        <v>21.9</v>
      </c>
      <c r="M7" s="7">
        <v>0</v>
      </c>
      <c r="N7" s="7">
        <v>2.19</v>
      </c>
      <c r="O7" s="7"/>
      <c r="P7" s="7"/>
      <c r="Q7" s="7"/>
      <c r="R7" s="7">
        <v>50</v>
      </c>
      <c r="S7" s="7" t="s">
        <v>63</v>
      </c>
      <c r="T7" s="7">
        <v>100000</v>
      </c>
      <c r="U7" s="7">
        <v>1</v>
      </c>
      <c r="V7" s="7">
        <v>10</v>
      </c>
      <c r="W7" s="7"/>
      <c r="X7" s="7"/>
      <c r="Y7" s="7">
        <f>ProjectRunLog[[#This Row],[Centre Temp After FRA (°C)]]-ProjectRunLog[[#This Row],[Centre Temp Before FRA (°C)]]</f>
        <v>0</v>
      </c>
      <c r="Z7" s="7"/>
      <c r="AA7" s="7">
        <v>1.23779296875</v>
      </c>
      <c r="AB7" s="7">
        <v>19.2596435546875</v>
      </c>
      <c r="AC7" s="7">
        <v>1.1358642578125</v>
      </c>
      <c r="AD7" s="7">
        <v>21.876339912414551</v>
      </c>
      <c r="AE7" s="7">
        <v>0.18839070431112509</v>
      </c>
      <c r="AF7" s="7">
        <v>6.0219000000000002E-2</v>
      </c>
      <c r="AG7" s="7">
        <v>7.2481000000000004E-2</v>
      </c>
      <c r="AH7" s="7">
        <v>1.2389000000000001E-2</v>
      </c>
      <c r="AI7" s="7">
        <v>0.96950000000000003</v>
      </c>
      <c r="AJ7" s="7" t="s">
        <v>56</v>
      </c>
      <c r="AK7" s="2" t="s">
        <v>64</v>
      </c>
      <c r="AL7" s="2" t="s">
        <v>80</v>
      </c>
      <c r="AM7" s="2" t="s">
        <v>81</v>
      </c>
    </row>
    <row r="8" spans="1:39" ht="30">
      <c r="A8" s="2" t="s">
        <v>82</v>
      </c>
      <c r="B8" s="3" t="s">
        <v>37</v>
      </c>
      <c r="C8" s="5">
        <v>0.69930555555555551</v>
      </c>
      <c r="D8" s="2" t="s">
        <v>74</v>
      </c>
      <c r="E8" s="2" t="s">
        <v>68</v>
      </c>
      <c r="F8" s="2" t="s">
        <v>50</v>
      </c>
      <c r="G8" s="2" t="s">
        <v>69</v>
      </c>
      <c r="H8" s="2" t="s">
        <v>52</v>
      </c>
      <c r="I8" s="2" t="s">
        <v>62</v>
      </c>
      <c r="J8" s="2" t="s">
        <v>76</v>
      </c>
      <c r="K8" s="2" t="s">
        <v>55</v>
      </c>
      <c r="L8" s="7">
        <v>21.9</v>
      </c>
      <c r="M8" s="7">
        <v>0</v>
      </c>
      <c r="N8" s="7"/>
      <c r="O8" s="7">
        <v>0</v>
      </c>
      <c r="P8" s="7"/>
      <c r="Q8" s="7"/>
      <c r="R8" s="7">
        <v>85</v>
      </c>
      <c r="S8" s="7" t="s">
        <v>70</v>
      </c>
      <c r="T8" s="7">
        <v>10000</v>
      </c>
      <c r="U8" s="7">
        <v>0.1</v>
      </c>
      <c r="V8" s="7">
        <v>10</v>
      </c>
      <c r="W8" s="7"/>
      <c r="X8" s="7"/>
      <c r="Y8" s="7">
        <f>ProjectRunLog[[#This Row],[Centre Temp After FRA (°C)]]-ProjectRunLog[[#This Row],[Centre Temp Before FRA (°C)]]</f>
        <v>0</v>
      </c>
      <c r="Z8" s="7"/>
      <c r="AA8" s="7">
        <v>1.23779296875</v>
      </c>
      <c r="AB8" s="7">
        <v>19.2596435546875</v>
      </c>
      <c r="AC8" s="7">
        <v>1.1358642578125</v>
      </c>
      <c r="AD8" s="7">
        <v>21.876339912414551</v>
      </c>
      <c r="AE8" s="7">
        <v>0.29509181480446633</v>
      </c>
      <c r="AF8" s="7">
        <v>6.0364000000000001E-2</v>
      </c>
      <c r="AG8" s="7">
        <v>7.1004999999999999E-2</v>
      </c>
      <c r="AH8" s="7">
        <v>1.2617E-2</v>
      </c>
      <c r="AI8" s="7">
        <v>0.97248000000000001</v>
      </c>
      <c r="AJ8" s="7" t="s">
        <v>56</v>
      </c>
      <c r="AK8" s="2" t="s">
        <v>64</v>
      </c>
      <c r="AL8" s="2" t="s">
        <v>83</v>
      </c>
      <c r="AM8" s="2" t="s">
        <v>84</v>
      </c>
    </row>
    <row r="9" spans="1:39" s="11" customFormat="1">
      <c r="A9" s="11" t="s">
        <v>118</v>
      </c>
      <c r="B9" s="12">
        <v>46253</v>
      </c>
      <c r="C9" s="13">
        <v>0.55555555555555558</v>
      </c>
      <c r="D9" s="11" t="s">
        <v>48</v>
      </c>
      <c r="E9" s="11" t="s">
        <v>49</v>
      </c>
      <c r="F9" s="11" t="s">
        <v>50</v>
      </c>
      <c r="G9" s="11" t="s">
        <v>51</v>
      </c>
      <c r="H9" s="11" t="s">
        <v>52</v>
      </c>
      <c r="I9" s="11" t="s">
        <v>53</v>
      </c>
      <c r="J9" s="11" t="s">
        <v>119</v>
      </c>
      <c r="K9" s="11" t="s">
        <v>120</v>
      </c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>
        <f>ProjectRunLog[[#This Row],[Centre Temp After FRA (°C)]]-ProjectRunLog[[#This Row],[Centre Temp Before FRA (°C)]]</f>
        <v>0</v>
      </c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L9" s="11" t="s">
        <v>129</v>
      </c>
    </row>
    <row r="10" spans="1:39">
      <c r="A10" t="s">
        <v>121</v>
      </c>
      <c r="B10" s="4">
        <v>46253</v>
      </c>
      <c r="C10" s="6">
        <v>0.56944444444444442</v>
      </c>
      <c r="D10" t="s">
        <v>48</v>
      </c>
      <c r="E10" t="s">
        <v>61</v>
      </c>
      <c r="F10" t="s">
        <v>50</v>
      </c>
      <c r="G10" t="s">
        <v>40</v>
      </c>
      <c r="H10" t="s">
        <v>52</v>
      </c>
      <c r="I10" t="s">
        <v>62</v>
      </c>
      <c r="J10" t="s">
        <v>119</v>
      </c>
      <c r="K10" t="s">
        <v>120</v>
      </c>
      <c r="L10" s="8">
        <v>20.9</v>
      </c>
      <c r="M10" s="8">
        <v>0</v>
      </c>
      <c r="N10" s="8">
        <v>2.09</v>
      </c>
      <c r="O10" s="8" t="s">
        <v>57</v>
      </c>
      <c r="P10" s="8">
        <v>20.9</v>
      </c>
      <c r="Q10" s="8">
        <v>0</v>
      </c>
      <c r="R10" s="8">
        <v>50</v>
      </c>
      <c r="S10" s="8" t="s">
        <v>63</v>
      </c>
      <c r="T10" s="8">
        <v>100000</v>
      </c>
      <c r="U10" s="8">
        <v>0.1</v>
      </c>
      <c r="V10" s="8">
        <v>10</v>
      </c>
      <c r="W10" s="8">
        <v>50</v>
      </c>
      <c r="X10" s="8">
        <v>49.9</v>
      </c>
      <c r="Y10" s="8">
        <f>ProjectRunLog[[#This Row],[Centre Temp After FRA (°C)]]-ProjectRunLog[[#This Row],[Centre Temp Before FRA (°C)]]</f>
        <v>-0.10000000000000142</v>
      </c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</row>
    <row r="11" spans="1:39">
      <c r="A11" t="s">
        <v>125</v>
      </c>
      <c r="B11" s="4">
        <v>46253</v>
      </c>
      <c r="C11" s="6">
        <v>0.58263888888888893</v>
      </c>
      <c r="D11" t="s">
        <v>48</v>
      </c>
      <c r="E11" t="s">
        <v>68</v>
      </c>
      <c r="F11" t="s">
        <v>50</v>
      </c>
      <c r="G11" t="s">
        <v>69</v>
      </c>
      <c r="H11" t="s">
        <v>52</v>
      </c>
      <c r="I11" t="s">
        <v>62</v>
      </c>
      <c r="J11" t="s">
        <v>119</v>
      </c>
      <c r="K11" t="s">
        <v>120</v>
      </c>
      <c r="L11" s="8">
        <v>20.9</v>
      </c>
      <c r="M11" s="8">
        <v>0</v>
      </c>
      <c r="N11" s="8" t="s">
        <v>57</v>
      </c>
      <c r="O11" s="8">
        <v>0</v>
      </c>
      <c r="P11" s="8">
        <v>20.9</v>
      </c>
      <c r="Q11" s="8">
        <v>0</v>
      </c>
      <c r="R11" s="8">
        <v>85</v>
      </c>
      <c r="S11" s="8" t="s">
        <v>70</v>
      </c>
      <c r="T11" s="8">
        <v>100000</v>
      </c>
      <c r="U11" s="8">
        <v>0.1</v>
      </c>
      <c r="V11" s="8">
        <v>10</v>
      </c>
      <c r="W11" s="7">
        <v>49.9</v>
      </c>
      <c r="X11" s="7">
        <v>50.1</v>
      </c>
      <c r="Y11" s="7">
        <f>ProjectRunLog[[#This Row],[Centre Temp After FRA (°C)]]-ProjectRunLog[[#This Row],[Centre Temp Before FRA (°C)]]</f>
        <v>0.20000000000000284</v>
      </c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</row>
    <row r="12" spans="1:39">
      <c r="A12" t="s">
        <v>91</v>
      </c>
      <c r="B12" s="4">
        <v>46253</v>
      </c>
      <c r="C12" s="6">
        <v>0.58680555555555558</v>
      </c>
      <c r="D12" t="s">
        <v>48</v>
      </c>
      <c r="E12" t="s">
        <v>61</v>
      </c>
      <c r="F12" t="s">
        <v>50</v>
      </c>
      <c r="G12" t="s">
        <v>40</v>
      </c>
      <c r="H12" t="s">
        <v>52</v>
      </c>
      <c r="I12" t="s">
        <v>62</v>
      </c>
      <c r="J12" t="s">
        <v>119</v>
      </c>
      <c r="K12" t="s">
        <v>120</v>
      </c>
      <c r="L12" s="8">
        <v>20.9</v>
      </c>
      <c r="M12" s="8">
        <v>0</v>
      </c>
      <c r="N12" s="8">
        <v>2.09</v>
      </c>
      <c r="O12" s="8" t="s">
        <v>57</v>
      </c>
      <c r="P12" s="8">
        <v>20.9</v>
      </c>
      <c r="Q12" s="8">
        <v>0</v>
      </c>
      <c r="R12" s="8">
        <v>20</v>
      </c>
      <c r="S12" s="8" t="s">
        <v>63</v>
      </c>
      <c r="T12" s="8">
        <v>100000</v>
      </c>
      <c r="U12" s="8">
        <v>0.1</v>
      </c>
      <c r="V12" s="8">
        <v>10</v>
      </c>
      <c r="W12" s="7">
        <v>50.1</v>
      </c>
      <c r="X12" s="7">
        <v>50.1</v>
      </c>
      <c r="Y12" s="7">
        <f>ProjectRunLog[[#This Row],[Centre Temp After FRA (°C)]]-ProjectRunLog[[#This Row],[Centre Temp Before FRA (°C)]]</f>
        <v>0</v>
      </c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</row>
    <row r="13" spans="1:39">
      <c r="A13" t="s">
        <v>126</v>
      </c>
      <c r="B13" s="4">
        <v>46253</v>
      </c>
      <c r="C13" s="6">
        <v>0.59097222222222223</v>
      </c>
      <c r="D13" t="s">
        <v>48</v>
      </c>
      <c r="E13" t="s">
        <v>68</v>
      </c>
      <c r="F13" t="s">
        <v>50</v>
      </c>
      <c r="G13" t="s">
        <v>69</v>
      </c>
      <c r="H13" t="s">
        <v>52</v>
      </c>
      <c r="I13" t="s">
        <v>62</v>
      </c>
      <c r="J13" t="s">
        <v>119</v>
      </c>
      <c r="K13" t="s">
        <v>120</v>
      </c>
      <c r="L13" s="8">
        <v>20.9</v>
      </c>
      <c r="M13" s="8">
        <v>0</v>
      </c>
      <c r="N13" s="8" t="s">
        <v>57</v>
      </c>
      <c r="O13" s="8">
        <v>0</v>
      </c>
      <c r="P13" s="8">
        <v>20.9</v>
      </c>
      <c r="Q13" s="8">
        <v>0</v>
      </c>
      <c r="R13" s="8">
        <v>50</v>
      </c>
      <c r="S13" s="8" t="s">
        <v>70</v>
      </c>
      <c r="T13" s="8">
        <v>100000</v>
      </c>
      <c r="U13" s="8">
        <v>0.1</v>
      </c>
      <c r="V13" s="8">
        <v>10</v>
      </c>
      <c r="W13" s="7">
        <v>50.1</v>
      </c>
      <c r="X13" s="7">
        <v>49.8</v>
      </c>
      <c r="Y13" s="7">
        <f>ProjectRunLog[[#This Row],[Centre Temp After FRA (°C)]]-ProjectRunLog[[#This Row],[Centre Temp Before FRA (°C)]]</f>
        <v>-0.30000000000000426</v>
      </c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</row>
    <row r="14" spans="1:39">
      <c r="A14" t="s">
        <v>127</v>
      </c>
      <c r="B14" s="4">
        <v>46253</v>
      </c>
      <c r="C14" s="6">
        <v>0.59722222222222221</v>
      </c>
      <c r="D14" t="s">
        <v>48</v>
      </c>
      <c r="E14" t="s">
        <v>61</v>
      </c>
      <c r="F14" t="s">
        <v>50</v>
      </c>
      <c r="G14" t="s">
        <v>40</v>
      </c>
      <c r="H14" t="s">
        <v>52</v>
      </c>
      <c r="I14" t="s">
        <v>62</v>
      </c>
      <c r="J14" t="s">
        <v>119</v>
      </c>
      <c r="K14" t="s">
        <v>120</v>
      </c>
      <c r="L14" s="8">
        <v>20.9</v>
      </c>
      <c r="M14" s="8">
        <v>0</v>
      </c>
      <c r="N14" s="8">
        <v>2.09</v>
      </c>
      <c r="O14" s="8" t="s">
        <v>57</v>
      </c>
      <c r="P14" s="8">
        <v>20.9</v>
      </c>
      <c r="Q14" s="8">
        <v>0</v>
      </c>
      <c r="R14" s="8">
        <v>100</v>
      </c>
      <c r="S14" s="8" t="s">
        <v>63</v>
      </c>
      <c r="T14" s="8">
        <v>100000</v>
      </c>
      <c r="U14" s="8">
        <v>0.1</v>
      </c>
      <c r="V14" s="8">
        <v>10</v>
      </c>
      <c r="W14" s="7">
        <v>49.8</v>
      </c>
      <c r="X14" s="7">
        <v>49.7</v>
      </c>
      <c r="Y14" s="7">
        <f>ProjectRunLog[[#This Row],[Centre Temp After FRA (°C)]]-ProjectRunLog[[#This Row],[Centre Temp Before FRA (°C)]]</f>
        <v>-9.9999999999994316E-2</v>
      </c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</row>
    <row r="15" spans="1:39">
      <c r="A15" t="s">
        <v>128</v>
      </c>
      <c r="B15" s="4">
        <v>46253</v>
      </c>
      <c r="C15" s="6">
        <v>0.60138888888888886</v>
      </c>
      <c r="D15" t="s">
        <v>48</v>
      </c>
      <c r="E15" t="s">
        <v>68</v>
      </c>
      <c r="F15" t="s">
        <v>50</v>
      </c>
      <c r="G15" t="s">
        <v>69</v>
      </c>
      <c r="H15" t="s">
        <v>52</v>
      </c>
      <c r="I15" t="s">
        <v>62</v>
      </c>
      <c r="J15" t="s">
        <v>119</v>
      </c>
      <c r="K15" t="s">
        <v>120</v>
      </c>
      <c r="L15" s="8">
        <v>20.9</v>
      </c>
      <c r="M15" s="8">
        <v>0</v>
      </c>
      <c r="N15" s="8" t="s">
        <v>57</v>
      </c>
      <c r="O15" s="8">
        <v>0</v>
      </c>
      <c r="P15" s="8">
        <v>20.9</v>
      </c>
      <c r="Q15" s="8">
        <v>0</v>
      </c>
      <c r="R15" s="8">
        <v>20</v>
      </c>
      <c r="S15" s="8" t="s">
        <v>70</v>
      </c>
      <c r="T15" s="8">
        <v>100000</v>
      </c>
      <c r="U15" s="8">
        <v>0.1</v>
      </c>
      <c r="V15" s="8">
        <v>10</v>
      </c>
      <c r="W15" s="7">
        <v>49.7</v>
      </c>
      <c r="X15" s="7">
        <v>50</v>
      </c>
      <c r="Y15" s="7">
        <f>ProjectRunLog[[#This Row],[Centre Temp After FRA (°C)]]-ProjectRunLog[[#This Row],[Centre Temp Before FRA (°C)]]</f>
        <v>0.29999999999999716</v>
      </c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</row>
    <row r="16" spans="1:39" s="11" customFormat="1">
      <c r="A16" s="11" t="s">
        <v>130</v>
      </c>
      <c r="B16" s="12">
        <v>46254</v>
      </c>
      <c r="C16" s="13">
        <v>0.61597222222222225</v>
      </c>
      <c r="D16" s="11" t="s">
        <v>48</v>
      </c>
      <c r="E16" s="11" t="s">
        <v>49</v>
      </c>
      <c r="F16" s="11" t="s">
        <v>50</v>
      </c>
      <c r="G16" s="11" t="s">
        <v>51</v>
      </c>
      <c r="H16" s="11" t="s">
        <v>52</v>
      </c>
      <c r="I16" s="11" t="s">
        <v>53</v>
      </c>
      <c r="J16" s="11" t="s">
        <v>131</v>
      </c>
      <c r="K16" t="s">
        <v>132</v>
      </c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8"/>
      <c r="X16" s="18"/>
      <c r="Y16" s="18">
        <f>ProjectRunLog[[#This Row],[Centre Temp After FRA (°C)]]-ProjectRunLog[[#This Row],[Centre Temp Before FRA (°C)]]</f>
        <v>0</v>
      </c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 t="s">
        <v>56</v>
      </c>
      <c r="AK16" s="11" t="s">
        <v>44</v>
      </c>
      <c r="AL16" s="11" t="s">
        <v>142</v>
      </c>
    </row>
    <row r="17" spans="1:38" s="11" customFormat="1">
      <c r="A17" s="11" t="s">
        <v>136</v>
      </c>
      <c r="B17" s="12">
        <v>46254</v>
      </c>
      <c r="C17" s="13">
        <v>0.63472222222222219</v>
      </c>
      <c r="D17" s="11" t="s">
        <v>48</v>
      </c>
      <c r="E17" s="11" t="s">
        <v>49</v>
      </c>
      <c r="F17" s="11" t="s">
        <v>50</v>
      </c>
      <c r="G17" s="11" t="s">
        <v>51</v>
      </c>
      <c r="H17" s="11" t="s">
        <v>52</v>
      </c>
      <c r="I17" s="11" t="s">
        <v>75</v>
      </c>
      <c r="J17" s="11" t="s">
        <v>131</v>
      </c>
      <c r="K17" t="s">
        <v>132</v>
      </c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8"/>
      <c r="X17" s="18"/>
      <c r="Y17" s="18">
        <f>ProjectRunLog[[#This Row],[Centre Temp After FRA (°C)]]-ProjectRunLog[[#This Row],[Centre Temp Before FRA (°C)]]</f>
        <v>0</v>
      </c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 t="s">
        <v>56</v>
      </c>
      <c r="AK17" s="11" t="s">
        <v>44</v>
      </c>
      <c r="AL17" s="11" t="s">
        <v>143</v>
      </c>
    </row>
    <row r="18" spans="1:38">
      <c r="A18" t="s">
        <v>133</v>
      </c>
      <c r="B18" s="4">
        <v>46254</v>
      </c>
      <c r="C18" s="6">
        <v>0.62083333333333335</v>
      </c>
      <c r="D18" t="s">
        <v>48</v>
      </c>
      <c r="E18" t="s">
        <v>61</v>
      </c>
      <c r="F18" t="s">
        <v>50</v>
      </c>
      <c r="G18" t="s">
        <v>40</v>
      </c>
      <c r="H18" t="s">
        <v>52</v>
      </c>
      <c r="I18" t="s">
        <v>62</v>
      </c>
      <c r="J18" t="s">
        <v>131</v>
      </c>
      <c r="K18" t="s">
        <v>132</v>
      </c>
      <c r="L18" s="8">
        <v>20.8</v>
      </c>
      <c r="M18" s="8">
        <v>0</v>
      </c>
      <c r="N18" s="8">
        <v>2.08</v>
      </c>
      <c r="O18" s="8">
        <v>0</v>
      </c>
      <c r="P18" s="8">
        <v>20.8</v>
      </c>
      <c r="Q18" s="8">
        <v>0</v>
      </c>
      <c r="R18" s="8">
        <v>50</v>
      </c>
      <c r="S18" s="8" t="s">
        <v>63</v>
      </c>
      <c r="T18" s="8">
        <v>100000</v>
      </c>
      <c r="U18" s="8">
        <v>0.1</v>
      </c>
      <c r="V18" s="8">
        <v>10</v>
      </c>
      <c r="W18" s="7">
        <v>48.4</v>
      </c>
      <c r="X18" s="7">
        <v>47.9</v>
      </c>
      <c r="Y18" s="7">
        <f>ProjectRunLog[[#This Row],[Centre Temp After FRA (°C)]]-ProjectRunLog[[#This Row],[Centre Temp Before FRA (°C)]]</f>
        <v>-0.5</v>
      </c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 t="s">
        <v>56</v>
      </c>
      <c r="AK18" t="s">
        <v>151</v>
      </c>
      <c r="AL18" t="s">
        <v>145</v>
      </c>
    </row>
    <row r="19" spans="1:38">
      <c r="A19" t="s">
        <v>134</v>
      </c>
      <c r="B19" s="4">
        <v>46254</v>
      </c>
      <c r="C19" s="6">
        <v>0.62361111111111112</v>
      </c>
      <c r="D19" t="s">
        <v>48</v>
      </c>
      <c r="E19" t="s">
        <v>61</v>
      </c>
      <c r="F19" t="s">
        <v>50</v>
      </c>
      <c r="G19" t="s">
        <v>40</v>
      </c>
      <c r="H19" t="s">
        <v>52</v>
      </c>
      <c r="I19" t="s">
        <v>62</v>
      </c>
      <c r="J19" t="s">
        <v>131</v>
      </c>
      <c r="K19" t="s">
        <v>132</v>
      </c>
      <c r="L19" s="8">
        <v>20.8</v>
      </c>
      <c r="M19" s="8">
        <v>0</v>
      </c>
      <c r="N19" s="8">
        <v>2.08</v>
      </c>
      <c r="O19" s="8">
        <v>0</v>
      </c>
      <c r="P19" s="8">
        <v>20.8</v>
      </c>
      <c r="Q19" s="8">
        <v>0</v>
      </c>
      <c r="R19" s="8">
        <v>50</v>
      </c>
      <c r="S19" s="8" t="s">
        <v>63</v>
      </c>
      <c r="T19" s="8">
        <v>100000</v>
      </c>
      <c r="U19" s="8">
        <v>1</v>
      </c>
      <c r="V19" s="8">
        <v>10</v>
      </c>
      <c r="W19" s="7">
        <v>47.9</v>
      </c>
      <c r="X19" s="7">
        <v>48.4</v>
      </c>
      <c r="Y19" s="7">
        <f>ProjectRunLog[[#This Row],[Centre Temp After FRA (°C)]]-ProjectRunLog[[#This Row],[Centre Temp Before FRA (°C)]]</f>
        <v>0.5</v>
      </c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 t="s">
        <v>56</v>
      </c>
      <c r="AK19" t="s">
        <v>151</v>
      </c>
      <c r="AL19" t="s">
        <v>146</v>
      </c>
    </row>
    <row r="20" spans="1:38">
      <c r="A20" t="s">
        <v>135</v>
      </c>
      <c r="B20" s="4">
        <v>46254</v>
      </c>
      <c r="C20" s="6">
        <v>0.62847222222222221</v>
      </c>
      <c r="D20" t="s">
        <v>48</v>
      </c>
      <c r="E20" t="s">
        <v>61</v>
      </c>
      <c r="F20" t="s">
        <v>50</v>
      </c>
      <c r="G20" t="s">
        <v>40</v>
      </c>
      <c r="H20" t="s">
        <v>52</v>
      </c>
      <c r="I20" t="s">
        <v>62</v>
      </c>
      <c r="J20" t="s">
        <v>131</v>
      </c>
      <c r="K20" t="s">
        <v>132</v>
      </c>
      <c r="L20" s="8">
        <v>20.8</v>
      </c>
      <c r="M20" s="8">
        <v>0</v>
      </c>
      <c r="N20" s="8">
        <v>2.08</v>
      </c>
      <c r="O20" s="8">
        <v>0</v>
      </c>
      <c r="P20" s="8">
        <v>20.8</v>
      </c>
      <c r="Q20" s="8">
        <v>0</v>
      </c>
      <c r="R20" s="8">
        <v>50</v>
      </c>
      <c r="S20" s="8" t="s">
        <v>63</v>
      </c>
      <c r="T20" s="8">
        <v>100000</v>
      </c>
      <c r="U20" s="8">
        <v>10</v>
      </c>
      <c r="V20" s="8">
        <v>10</v>
      </c>
      <c r="W20" s="7">
        <v>48.4</v>
      </c>
      <c r="X20" s="7">
        <v>48.2</v>
      </c>
      <c r="Y20" s="7">
        <f>ProjectRunLog[[#This Row],[Centre Temp After FRA (°C)]]-ProjectRunLog[[#This Row],[Centre Temp Before FRA (°C)]]</f>
        <v>-0.19999999999999574</v>
      </c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 t="s">
        <v>56</v>
      </c>
      <c r="AK20" t="s">
        <v>151</v>
      </c>
      <c r="AL20" t="s">
        <v>147</v>
      </c>
    </row>
    <row r="21" spans="1:38" s="11" customFormat="1">
      <c r="A21" s="11" t="s">
        <v>137</v>
      </c>
      <c r="B21" s="12">
        <v>46254</v>
      </c>
      <c r="C21" s="13">
        <v>0.64930555555555558</v>
      </c>
      <c r="D21" s="11" t="s">
        <v>74</v>
      </c>
      <c r="E21" s="11" t="s">
        <v>49</v>
      </c>
      <c r="F21" s="11" t="s">
        <v>50</v>
      </c>
      <c r="G21" s="11" t="s">
        <v>40</v>
      </c>
      <c r="H21" s="11" t="s">
        <v>52</v>
      </c>
      <c r="I21" s="11" t="s">
        <v>75</v>
      </c>
      <c r="J21" s="11" t="s">
        <v>141</v>
      </c>
      <c r="K21" s="11" t="s">
        <v>132</v>
      </c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8">
        <v>50.2</v>
      </c>
      <c r="X21" s="18">
        <v>47.9</v>
      </c>
      <c r="Y21" s="18">
        <f>ProjectRunLog[[#This Row],[Centre Temp After FRA (°C)]]-ProjectRunLog[[#This Row],[Centre Temp Before FRA (°C)]]</f>
        <v>-2.3000000000000043</v>
      </c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 t="s">
        <v>56</v>
      </c>
      <c r="AK21" s="11" t="s">
        <v>44</v>
      </c>
      <c r="AL21" s="11" t="s">
        <v>144</v>
      </c>
    </row>
    <row r="22" spans="1:38">
      <c r="A22" t="s">
        <v>138</v>
      </c>
      <c r="B22" s="4">
        <v>46254</v>
      </c>
      <c r="C22" s="6">
        <v>0.65069444444444446</v>
      </c>
      <c r="D22" t="s">
        <v>74</v>
      </c>
      <c r="E22" t="s">
        <v>61</v>
      </c>
      <c r="F22" t="s">
        <v>50</v>
      </c>
      <c r="G22" t="s">
        <v>40</v>
      </c>
      <c r="H22" t="s">
        <v>52</v>
      </c>
      <c r="I22" t="s">
        <v>62</v>
      </c>
      <c r="J22" t="s">
        <v>141</v>
      </c>
      <c r="K22" t="s">
        <v>132</v>
      </c>
      <c r="L22" s="8">
        <v>20.8</v>
      </c>
      <c r="M22" s="8">
        <v>0</v>
      </c>
      <c r="N22" s="8">
        <v>2.08</v>
      </c>
      <c r="O22" s="8">
        <v>0</v>
      </c>
      <c r="P22" s="8">
        <v>20.8</v>
      </c>
      <c r="Q22" s="8">
        <v>0</v>
      </c>
      <c r="R22" s="8">
        <v>50</v>
      </c>
      <c r="S22" s="8" t="s">
        <v>63</v>
      </c>
      <c r="T22" s="8">
        <v>100000</v>
      </c>
      <c r="U22" s="8">
        <v>0.1</v>
      </c>
      <c r="V22" s="8">
        <v>10</v>
      </c>
      <c r="W22" s="7">
        <v>47.9</v>
      </c>
      <c r="X22" s="7">
        <v>47.9</v>
      </c>
      <c r="Y22" s="7">
        <f>ProjectRunLog[[#This Row],[Centre Temp After FRA (°C)]]-ProjectRunLog[[#This Row],[Centre Temp Before FRA (°C)]]</f>
        <v>0</v>
      </c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 t="s">
        <v>56</v>
      </c>
      <c r="AK22" t="s">
        <v>151</v>
      </c>
      <c r="AL22" t="s">
        <v>148</v>
      </c>
    </row>
    <row r="23" spans="1:38">
      <c r="A23" t="s">
        <v>139</v>
      </c>
      <c r="B23" s="4">
        <v>46254</v>
      </c>
      <c r="C23" s="6">
        <v>0.65347222222222223</v>
      </c>
      <c r="D23" t="s">
        <v>74</v>
      </c>
      <c r="E23" t="s">
        <v>61</v>
      </c>
      <c r="F23" t="s">
        <v>50</v>
      </c>
      <c r="G23" t="s">
        <v>40</v>
      </c>
      <c r="H23" t="s">
        <v>52</v>
      </c>
      <c r="I23" t="s">
        <v>62</v>
      </c>
      <c r="J23" t="s">
        <v>141</v>
      </c>
      <c r="K23" t="s">
        <v>132</v>
      </c>
      <c r="L23" s="8">
        <v>20.8</v>
      </c>
      <c r="M23" s="8">
        <v>0</v>
      </c>
      <c r="N23" s="8">
        <v>2.08</v>
      </c>
      <c r="O23" s="8">
        <v>0</v>
      </c>
      <c r="P23" s="8">
        <v>20.8</v>
      </c>
      <c r="Q23" s="8">
        <v>0</v>
      </c>
      <c r="R23" s="8">
        <v>50</v>
      </c>
      <c r="S23" s="8" t="s">
        <v>63</v>
      </c>
      <c r="T23" s="8">
        <v>100000</v>
      </c>
      <c r="U23" s="8">
        <v>1</v>
      </c>
      <c r="V23" s="8">
        <v>10</v>
      </c>
      <c r="W23" s="7">
        <v>47.9</v>
      </c>
      <c r="X23" s="7">
        <v>48</v>
      </c>
      <c r="Y23" s="7">
        <f>ProjectRunLog[[#This Row],[Centre Temp After FRA (°C)]]-ProjectRunLog[[#This Row],[Centre Temp Before FRA (°C)]]</f>
        <v>0.10000000000000142</v>
      </c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 t="s">
        <v>56</v>
      </c>
      <c r="AK23" t="s">
        <v>151</v>
      </c>
      <c r="AL23" t="s">
        <v>149</v>
      </c>
    </row>
    <row r="24" spans="1:38">
      <c r="A24" t="s">
        <v>140</v>
      </c>
      <c r="B24" s="4">
        <v>46254</v>
      </c>
      <c r="C24" s="6">
        <v>0.65694444444444444</v>
      </c>
      <c r="D24" t="s">
        <v>74</v>
      </c>
      <c r="E24" t="s">
        <v>61</v>
      </c>
      <c r="F24" t="s">
        <v>50</v>
      </c>
      <c r="G24" t="s">
        <v>40</v>
      </c>
      <c r="H24" t="s">
        <v>52</v>
      </c>
      <c r="I24" t="s">
        <v>62</v>
      </c>
      <c r="J24" t="s">
        <v>141</v>
      </c>
      <c r="K24" t="s">
        <v>132</v>
      </c>
      <c r="L24" s="8">
        <v>20.8</v>
      </c>
      <c r="M24" s="8">
        <v>0</v>
      </c>
      <c r="N24" s="8">
        <v>2.08</v>
      </c>
      <c r="O24" s="8">
        <v>0</v>
      </c>
      <c r="P24" s="8">
        <v>20.8</v>
      </c>
      <c r="Q24" s="8">
        <v>0</v>
      </c>
      <c r="R24" s="8">
        <v>50</v>
      </c>
      <c r="S24" s="8" t="s">
        <v>63</v>
      </c>
      <c r="T24" s="8">
        <v>100000</v>
      </c>
      <c r="U24" s="8">
        <v>10</v>
      </c>
      <c r="V24" s="8">
        <v>10</v>
      </c>
      <c r="W24" s="7">
        <v>48</v>
      </c>
      <c r="X24" s="7">
        <v>48</v>
      </c>
      <c r="Y24" s="7">
        <f>ProjectRunLog[[#This Row],[Centre Temp After FRA (°C)]]-ProjectRunLog[[#This Row],[Centre Temp Before FRA (°C)]]</f>
        <v>0</v>
      </c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 t="s">
        <v>56</v>
      </c>
      <c r="AK24" t="s">
        <v>151</v>
      </c>
      <c r="AL24" t="s">
        <v>150</v>
      </c>
    </row>
    <row r="25" spans="1:38">
      <c r="B25" s="4"/>
      <c r="C25" s="6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7"/>
      <c r="X25" s="7"/>
      <c r="Y25" s="7">
        <f>ProjectRunLog[[#This Row],[Centre Temp After FRA (°C)]]-ProjectRunLog[[#This Row],[Centre Temp Before FRA (°C)]]</f>
        <v>0</v>
      </c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</row>
    <row r="26" spans="1:38">
      <c r="B26" s="4"/>
      <c r="C26" s="6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</row>
    <row r="27" spans="1:38">
      <c r="B27" s="4"/>
      <c r="C27" s="6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</row>
    <row r="28" spans="1:38">
      <c r="B28" s="4"/>
      <c r="C28" s="6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</row>
    <row r="29" spans="1:38">
      <c r="B29" s="4"/>
      <c r="C29" s="6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</row>
    <row r="30" spans="1:38">
      <c r="B30" s="4"/>
      <c r="C30" s="6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</row>
    <row r="31" spans="1:38">
      <c r="B31" s="4"/>
      <c r="C31" s="6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</row>
    <row r="32" spans="1:38">
      <c r="B32" s="4"/>
      <c r="C32" s="6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</row>
    <row r="33" spans="2:36">
      <c r="B33" s="4"/>
      <c r="C33" s="6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</row>
    <row r="34" spans="2:36">
      <c r="B34" s="4"/>
      <c r="C34" s="6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</row>
    <row r="35" spans="2:36">
      <c r="B35" s="4"/>
      <c r="C35" s="6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</row>
    <row r="36" spans="2:36">
      <c r="B36" s="4"/>
      <c r="C36" s="6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</row>
    <row r="37" spans="2:36">
      <c r="B37" s="4"/>
      <c r="C37" s="6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</row>
    <row r="38" spans="2:36">
      <c r="B38" s="4"/>
      <c r="C38" s="6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</row>
    <row r="39" spans="2:36">
      <c r="B39" s="4"/>
      <c r="C39" s="6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</row>
    <row r="40" spans="2:36">
      <c r="B40" s="4"/>
      <c r="C40" s="6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</row>
    <row r="41" spans="2:36">
      <c r="B41" s="4"/>
      <c r="C41" s="6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</row>
    <row r="42" spans="2:36">
      <c r="B42" s="4"/>
      <c r="C42" s="6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</row>
    <row r="43" spans="2:36">
      <c r="B43" s="4"/>
      <c r="C43" s="6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</row>
    <row r="44" spans="2:36">
      <c r="B44" s="4"/>
      <c r="C44" s="6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</row>
    <row r="45" spans="2:36">
      <c r="B45" s="4"/>
      <c r="C45" s="6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</row>
    <row r="46" spans="2:36">
      <c r="B46" s="4"/>
      <c r="C46" s="6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</row>
    <row r="47" spans="2:36">
      <c r="B47" s="4"/>
      <c r="C47" s="6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</row>
    <row r="48" spans="2:36">
      <c r="B48" s="4"/>
      <c r="C48" s="6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</row>
    <row r="49" spans="2:36">
      <c r="B49" s="4"/>
      <c r="C49" s="6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</row>
    <row r="50" spans="2:36">
      <c r="B50" s="4"/>
      <c r="C50" s="6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</row>
    <row r="51" spans="2:36">
      <c r="B51" s="4"/>
      <c r="C51" s="6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</row>
  </sheetData>
  <conditionalFormatting sqref="AK2:AK51">
    <cfRule type="expression" dxfId="1" priority="1">
      <formula>AK2="CHECK"</formula>
    </cfRule>
    <cfRule type="expression" dxfId="0" priority="2">
      <formula>AK2="REJECT"</formula>
    </cfRule>
  </conditionalFormatting>
  <dataValidations count="10">
    <dataValidation type="list" sqref="AK1:AK1048576" xr:uid="{00000000-0002-0000-0000-000000000000}">
      <formula1>"Nova export,Nova screenshot,MATLAB fit,N/A,Not captured,Other"</formula1>
    </dataValidation>
    <dataValidation type="list" sqref="D2:D501" xr:uid="{00000000-0002-0000-0000-000001000000}">
      <formula1>"Pair 1,Pair 2,Pair 3,Pair 4,Pair 5,Pair 6,Pair 7,Pair 8,Pair 9,Pair 10"</formula1>
    </dataValidation>
    <dataValidation type="list" sqref="E2:E501" xr:uid="{00000000-0002-0000-0000-000002000000}">
      <formula1>"Dummy FRA,DC I-V Curve,POT FRA,GAL FRA"</formula1>
    </dataValidation>
    <dataValidation type="list" sqref="F2:F501" xr:uid="{00000000-0002-0000-0000-000003000000}">
      <formula1>"GSM80W,Dummy Cell"</formula1>
    </dataValidation>
    <dataValidation type="list" sqref="G2:G501" xr:uid="{00000000-0002-0000-0000-000004000000}">
      <formula1>"Potentiostatic,Galvanostatic,DC Characterisation"</formula1>
    </dataValidation>
    <dataValidation type="list" sqref="H2:H501" xr:uid="{00000000-0002-0000-0000-000005000000}">
      <formula1>"Healthy,Instrument verification,Partial shading,Module mismatch,Soiling,Hotspot mimic,Other"</formula1>
    </dataValidation>
    <dataValidation type="list" sqref="I2:I501" xr:uid="{00000000-0002-0000-0000-000006000000}">
      <formula1>"Dummy network,Pre-condition I-V,Mid-condition I-V,OPA – near Voc,OPB – Vmp,OPC – high-current,Other"</formula1>
    </dataValidation>
    <dataValidation type="list" sqref="S2:S501" xr:uid="{00000000-0002-0000-0000-000007000000}">
      <formula1>"mV RMS,mA RMS"</formula1>
    </dataValidation>
    <dataValidation sqref="AL1:AL1048576" xr:uid="{00000000-0002-0000-0000-000009000000}"/>
    <dataValidation type="list" allowBlank="1" showInputMessage="1" showErrorMessage="1" sqref="AJ1:AJ1048576" xr:uid="{24D91CEF-D6E5-444D-B85D-356D14AC94CF}">
      <formula1>"ACCEPT,CHECK,REJECT,REPEAT"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baseColWidth="10" defaultColWidth="8.83203125" defaultRowHeight="14"/>
  <cols>
    <col min="1" max="1" width="24" customWidth="1"/>
    <col min="2" max="2" width="38" customWidth="1"/>
    <col min="3" max="3" width="46" customWidth="1"/>
    <col min="4" max="4" width="36" customWidth="1"/>
  </cols>
  <sheetData>
    <row r="1" spans="1:4" ht="16">
      <c r="A1" s="1" t="s">
        <v>85</v>
      </c>
      <c r="B1" s="1" t="s">
        <v>86</v>
      </c>
      <c r="C1" s="1" t="s">
        <v>87</v>
      </c>
      <c r="D1" s="1" t="s">
        <v>88</v>
      </c>
    </row>
    <row r="2" spans="1:4" ht="30">
      <c r="A2" s="9" t="s">
        <v>0</v>
      </c>
      <c r="B2" s="2" t="s">
        <v>89</v>
      </c>
      <c r="C2" s="2" t="s">
        <v>90</v>
      </c>
      <c r="D2" s="2" t="s">
        <v>91</v>
      </c>
    </row>
    <row r="3" spans="1:4" ht="30">
      <c r="A3" s="9" t="s">
        <v>9</v>
      </c>
      <c r="B3" s="2" t="s">
        <v>92</v>
      </c>
      <c r="C3" s="2" t="s">
        <v>93</v>
      </c>
      <c r="D3" s="2" t="s">
        <v>54</v>
      </c>
    </row>
    <row r="4" spans="1:4" ht="30">
      <c r="A4" s="9" t="s">
        <v>10</v>
      </c>
      <c r="B4" s="2" t="s">
        <v>94</v>
      </c>
      <c r="C4" s="2" t="s">
        <v>95</v>
      </c>
      <c r="D4" s="2" t="s">
        <v>55</v>
      </c>
    </row>
    <row r="5" spans="1:4" ht="45">
      <c r="A5" s="9" t="s">
        <v>96</v>
      </c>
      <c r="B5" s="2" t="s">
        <v>97</v>
      </c>
      <c r="C5" s="2" t="s">
        <v>98</v>
      </c>
      <c r="D5" s="2" t="s">
        <v>99</v>
      </c>
    </row>
    <row r="6" spans="1:4" ht="30">
      <c r="A6" s="9" t="s">
        <v>100</v>
      </c>
      <c r="B6" s="2" t="s">
        <v>101</v>
      </c>
      <c r="C6" s="2" t="s">
        <v>102</v>
      </c>
      <c r="D6" s="2" t="s">
        <v>103</v>
      </c>
    </row>
    <row r="7" spans="1:4" ht="30">
      <c r="A7" s="9" t="s">
        <v>104</v>
      </c>
      <c r="B7" s="2" t="s">
        <v>105</v>
      </c>
      <c r="C7" s="2" t="s">
        <v>106</v>
      </c>
      <c r="D7" s="2" t="s">
        <v>107</v>
      </c>
    </row>
    <row r="8" spans="1:4" ht="30">
      <c r="A8" s="9" t="s">
        <v>33</v>
      </c>
      <c r="B8" s="2" t="s">
        <v>108</v>
      </c>
      <c r="C8" s="2" t="s">
        <v>109</v>
      </c>
      <c r="D8" s="2" t="s">
        <v>64</v>
      </c>
    </row>
    <row r="9" spans="1:4" ht="45">
      <c r="A9" s="9" t="s">
        <v>110</v>
      </c>
      <c r="B9" s="2" t="s">
        <v>111</v>
      </c>
      <c r="C9" s="2" t="s">
        <v>112</v>
      </c>
      <c r="D9" s="2" t="s">
        <v>113</v>
      </c>
    </row>
    <row r="11" spans="1:4" ht="30">
      <c r="A11" s="10" t="s">
        <v>114</v>
      </c>
      <c r="B11" s="2" t="s">
        <v>115</v>
      </c>
      <c r="C11" s="2" t="s">
        <v>116</v>
      </c>
      <c r="D11" s="2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Run Log</vt:lpstr>
      <vt:lpstr>Field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Jamie Langeveldt</cp:lastModifiedBy>
  <dcterms:created xsi:type="dcterms:W3CDTF">2026-08-19T09:35:12Z</dcterms:created>
  <dcterms:modified xsi:type="dcterms:W3CDTF">2026-08-20T14:12:03Z</dcterms:modified>
</cp:coreProperties>
</file>